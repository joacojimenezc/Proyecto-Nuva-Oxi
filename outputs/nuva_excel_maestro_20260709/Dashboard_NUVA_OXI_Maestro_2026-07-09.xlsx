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1.xml" ContentType="application/vnd.openxmlformats-officedocument.spreadsheetml.table+xml"/>
  <Override PartName="/xl/worksheets/sheet19.xml" ContentType="application/vnd.openxmlformats-officedocument.spreadsheetml.worksheet+xml"/>
  <Override PartName="/xl/tables/table12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3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14.xml" ContentType="application/vnd.openxmlformats-officedocument.spreadsheetml.table+xml"/>
  <Override PartName="/xl/worksheets/sheet24.xml" ContentType="application/vnd.openxmlformats-officedocument.spreadsheetml.worksheet+xml"/>
  <Override PartName="/xl/tables/table15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6.xml" ContentType="application/vnd.openxmlformats-officedocument.spreadsheetml.table+xml"/>
  <Override PartName="/xl/worksheets/sheet28.xml" ContentType="application/vnd.openxmlformats-officedocument.spreadsheetml.worksheet+xml"/>
  <Override PartName="/xl/tables/table17.xml" ContentType="application/vnd.openxmlformats-officedocument.spreadsheetml.table+xml"/>
  <Override PartName="/xl/worksheets/sheet29.xml" ContentType="application/vnd.openxmlformats-officedocument.spreadsheetml.worksheet+xml"/>
  <Override PartName="/xl/tables/table18.xml" ContentType="application/vnd.openxmlformats-officedocument.spreadsheetml.table+xml"/>
  <Override PartName="/xl/worksheets/sheet30.xml" ContentType="application/vnd.openxmlformats-officedocument.spreadsheetml.worksheet+xml"/>
  <Override PartName="/xl/tables/table19.xml" ContentType="application/vnd.openxmlformats-officedocument.spreadsheetml.table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0.xml" ContentType="application/vnd.openxmlformats-officedocument.spreadsheetml.table+xml"/>
  <Override PartName="/xl/worksheets/sheet33.xml" ContentType="application/vnd.openxmlformats-officedocument.spreadsheetml.worksheet+xml"/>
  <Override PartName="/xl/tables/table21.xml" ContentType="application/vnd.openxmlformats-officedocument.spreadsheetml.table+xml"/>
  <Override PartName="/xl/worksheets/sheet34.xml" ContentType="application/vnd.openxmlformats-officedocument.spreadsheetml.worksheet+xml"/>
  <Override PartName="/xl/tables/table22.xml" ContentType="application/vnd.openxmlformats-officedocument.spreadsheetml.table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ables/table23.xml" ContentType="application/vnd.openxmlformats-officedocument.spreadsheetml.table+xml"/>
  <Override PartName="/xl/worksheets/sheet37.xml" ContentType="application/vnd.openxmlformats-officedocument.spreadsheetml.worksheet+xml"/>
  <Override PartName="/xl/tables/table24.xml" ContentType="application/vnd.openxmlformats-officedocument.spreadsheetml.table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c00ee5405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1ce6863adab47d6"/>
    <x:sheet xmlns:r="http://schemas.openxmlformats.org/officeDocument/2006/relationships" name="CC_PORTADA" sheetId="2" r:id="R1004363227224033"/>
    <x:sheet xmlns:r="http://schemas.openxmlformats.org/officeDocument/2006/relationships" name="CC_sell_out" sheetId="3" r:id="Re32b9647e1c24627"/>
    <x:sheet xmlns:r="http://schemas.openxmlformats.org/officeDocument/2006/relationships" name="CC_sell_in" sheetId="4" r:id="R7f1efaa34f6644a1"/>
    <x:sheet xmlns:r="http://schemas.openxmlformats.org/officeDocument/2006/relationships" name="CC_ANALISIS" sheetId="5" r:id="R44611f95025442e0"/>
    <x:sheet xmlns:r="http://schemas.openxmlformats.org/officeDocument/2006/relationships" name="FIN_EST_RESULT" sheetId="6" r:id="Re6d20ed71d1c4d7b"/>
    <x:sheet xmlns:r="http://schemas.openxmlformats.org/officeDocument/2006/relationships" name="FIN_BALANCE" sheetId="7" r:id="R3b53c67c92bc4616"/>
    <x:sheet xmlns:r="http://schemas.openxmlformats.org/officeDocument/2006/relationships" name="FIN_FLUJO_CAJA" sheetId="8" r:id="Raf99ef4199c74ee8"/>
    <x:sheet xmlns:r="http://schemas.openxmlformats.org/officeDocument/2006/relationships" name="FIN_datos_ventas" sheetId="9" r:id="Rd050a46f508340c8"/>
    <x:sheet xmlns:r="http://schemas.openxmlformats.org/officeDocument/2006/relationships" name="INV_INVENTARIO_PDV" sheetId="10" r:id="R6a3bb82dd32b48ee"/>
    <x:sheet xmlns:r="http://schemas.openxmlformats.org/officeDocument/2006/relationships" name="INV_MOVIMIENTOS" sheetId="11" r:id="Re1a03489602f4e0d"/>
    <x:sheet xmlns:r="http://schemas.openxmlformats.org/officeDocument/2006/relationships" name="INV_STOCK_CANAL" sheetId="12" r:id="R2fba84a874d04487"/>
    <x:sheet xmlns:r="http://schemas.openxmlformats.org/officeDocument/2006/relationships" name="INV_ref_SKU" sheetId="13" r:id="R605f6fe2c18740eb"/>
    <x:sheet xmlns:r="http://schemas.openxmlformats.org/officeDocument/2006/relationships" name="INV_ref_PDV" sheetId="14" r:id="R0d131ea0717f4a5a"/>
    <x:sheet xmlns:r="http://schemas.openxmlformats.org/officeDocument/2006/relationships" name="INV_ventas_crm" sheetId="15" r:id="R1d24a689f11145ba"/>
    <x:sheet xmlns:r="http://schemas.openxmlformats.org/officeDocument/2006/relationships" name="SIN_ANALISIS" sheetId="16" r:id="Rc646ad2e9ce34456"/>
    <x:sheet xmlns:r="http://schemas.openxmlformats.org/officeDocument/2006/relationships" name="SIN_GESTION_PED" sheetId="17" r:id="R0ab08f22a7ba4c9f"/>
    <x:sheet xmlns:r="http://schemas.openxmlformats.org/officeDocument/2006/relationships" name="SIN_ref_SKU" sheetId="18" r:id="Rcfe5a3bb62df48a6"/>
    <x:sheet xmlns:r="http://schemas.openxmlformats.org/officeDocument/2006/relationships" name="SIN_ref_Clientes" sheetId="19" r:id="Rbeacb967523e44b6"/>
    <x:sheet xmlns:r="http://schemas.openxmlformats.org/officeDocument/2006/relationships" name="SIN_VENTAS" sheetId="20" r:id="Rc121ab69db664339"/>
    <x:sheet xmlns:r="http://schemas.openxmlformats.org/officeDocument/2006/relationships" name="SOUT_SELL_OUT" sheetId="21" r:id="Re52c1e7e49ea453e"/>
    <x:sheet xmlns:r="http://schemas.openxmlformats.org/officeDocument/2006/relationships" name="SOUT_RESUMEN" sheetId="22" r:id="R194d51034bb4430b"/>
    <x:sheet xmlns:r="http://schemas.openxmlformats.org/officeDocument/2006/relationships" name="SOUT_carga_clientes" sheetId="23" r:id="R7164ab8adae04395"/>
    <x:sheet xmlns:r="http://schemas.openxmlformats.org/officeDocument/2006/relationships" name="SOUT_carga_cencosud" sheetId="24" r:id="Rfdecc5ccc1ef4e18"/>
    <x:sheet xmlns:r="http://schemas.openxmlformats.org/officeDocument/2006/relationships" name="CRM_13_Dashboard" sheetId="25" r:id="R2e0f5938baff446f"/>
    <x:sheet xmlns:r="http://schemas.openxmlformats.org/officeDocument/2006/relationships" name="CRM_12_POP" sheetId="26" r:id="Raec5c049a3d24105"/>
    <x:sheet xmlns:r="http://schemas.openxmlformats.org/officeDocument/2006/relationships" name="CRM_11_Tareas" sheetId="27" r:id="R65486aef156247f0"/>
    <x:sheet xmlns:r="http://schemas.openxmlformats.org/officeDocument/2006/relationships" name="CRM_10_Margen" sheetId="28" r:id="Rfb501f3b025b410b"/>
    <x:sheet xmlns:r="http://schemas.openxmlformats.org/officeDocument/2006/relationships" name="CRM_09_Sell_In" sheetId="29" r:id="R9debe15d192c42e9"/>
    <x:sheet xmlns:r="http://schemas.openxmlformats.org/officeDocument/2006/relationships" name="CRM_08_Pedidos" sheetId="30" r:id="Ra164be684bff47da"/>
    <x:sheet xmlns:r="http://schemas.openxmlformats.org/officeDocument/2006/relationships" name="CRM_07_Stock_Canal" sheetId="31" r:id="R84f77b427b024171"/>
    <x:sheet xmlns:r="http://schemas.openxmlformats.org/officeDocument/2006/relationships" name="CRM_06_Reg_PDV" sheetId="32" r:id="R1524283577784947"/>
    <x:sheet xmlns:r="http://schemas.openxmlformats.org/officeDocument/2006/relationships" name="CRM_05_Visitas" sheetId="33" r:id="R7b90d64ad3454d06"/>
    <x:sheet xmlns:r="http://schemas.openxmlformats.org/officeDocument/2006/relationships" name="CRM_04_Prioridad" sheetId="34" r:id="Ra0550399cc7d40a7"/>
    <x:sheet xmlns:r="http://schemas.openxmlformats.org/officeDocument/2006/relationships" name="CRM_03_SKU" sheetId="35" r:id="R8c8505a8b5654a65"/>
    <x:sheet xmlns:r="http://schemas.openxmlformats.org/officeDocument/2006/relationships" name="CRM_02_PDV" sheetId="36" r:id="Rd85bb80f80714c5f"/>
    <x:sheet xmlns:r="http://schemas.openxmlformats.org/officeDocument/2006/relationships" name="CRM_01_Clientes" sheetId="37" r:id="Rf435be579e6c48d1"/>
    <x:sheet xmlns:r="http://schemas.openxmlformats.org/officeDocument/2006/relationships" name="CRM_00_Parametros" sheetId="38" r:id="Rd9e53ee2465742d2"/>
    <x:sheet xmlns:r="http://schemas.openxmlformats.org/officeDocument/2006/relationships" name="00_Indice" sheetId="39" r:id="R06c3256ffcb04a37"/>
    <x:sheet xmlns:r="http://schemas.openxmlformats.org/officeDocument/2006/relationships" name="00_Fuentes" sheetId="40" r:id="R126cf0e351284252"/>
    <x:sheet xmlns:r="http://schemas.openxmlformats.org/officeDocument/2006/relationships" name="00_Checks" sheetId="41" r:id="Rb1d96513abe14020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165" formatCode="&quot;$&quot;#,##0"/>
    <x:numFmt numFmtId="166" formatCode="&quot;$&quot;#,##0"/>
    <x:numFmt numFmtId="167" formatCode="&quot;$&quot;#,##0"/>
    <x:numFmt numFmtId="168" formatCode="&quot;$&quot;#,##0"/>
    <x:numFmt numFmtId="169" formatCode="&quot;$&quot;#,##0"/>
    <x:numFmt numFmtId="170" formatCode="+0%;-0%"/>
    <x:numFmt numFmtId="200" formatCode="#,##0"/>
    <x:numFmt numFmtId="201" formatCode="$#,##0"/>
    <x:numFmt numFmtId="202" formatCode="yyyy-mm-dd"/>
    <x:numFmt numFmtId="203" formatCode="0.0%"/>
    <x:numFmt numFmtId="204" formatCode="#,##0.00"/>
  </x:numFmts>
  <x:fonts count="51">
    <x:font>
      <x:sz val="11"/>
      <x:name val="Calibri"/>
    </x:font>
    <x:font>
      <x:sz val="11"/>
      <x:name val="Calibri"/>
    </x:font>
    <x:font>
      <x:b/>
      <x:sz val="16"/>
      <x:color rgb="FFFFFFFF"/>
      <x:name val="Calibri"/>
    </x:font>
    <x:font>
      <x:sz val="10"/>
      <x:color rgb="FF1C2B26"/>
      <x:name val="Calibri"/>
    </x:font>
    <x:font>
      <x:sz val="9"/>
      <x:color rgb="FFD9C7D2"/>
      <x:name val="Calibri"/>
    </x:font>
    <x:font>
      <x:sz val="10"/>
      <x:color rgb="FF1C2B26"/>
      <x:name val="Calibri"/>
    </x:font>
    <x:font>
      <x:b/>
      <x:sz val="9"/>
      <x:color rgb="FF6B7D76"/>
      <x:name val="Calibri"/>
    </x:font>
    <x:font>
      <x:b/>
      <x:sz val="14"/>
      <x:color rgb="FF14503B"/>
      <x:name val="Calibri"/>
    </x:font>
    <x:font>
      <x:b/>
      <x:sz val="14"/>
      <x:color rgb="FF3A7BD5"/>
      <x:name val="Calibri"/>
    </x:font>
    <x:font>
      <x:b/>
      <x:sz val="14"/>
      <x:color rgb="FFD9534F"/>
      <x:name val="Calibri"/>
    </x:font>
    <x:font>
      <x:b/>
      <x:sz val="12"/>
      <x:color rgb="FF14503B"/>
      <x:name val="Calibri"/>
    </x:font>
    <x:font>
      <x:b/>
      <x:sz val="14"/>
      <x:color rgb="FFE8A33D"/>
      <x:name val="Calibri"/>
    </x:font>
    <x:font>
      <x:sz val="8"/>
      <x:color rgb="FF6B7D76"/>
      <x:name val="Calibri"/>
    </x:font>
    <x:font>
      <x:b/>
      <x:sz val="12"/>
      <x:color rgb="FFFFFFFF"/>
      <x:name val="Calibri"/>
    </x:font>
    <x:font>
      <x:sz val="10"/>
      <x:color rgb="FF1C2B26"/>
      <x:name val="Calibri"/>
    </x:font>
    <x:font>
      <x:b/>
      <x:sz val="10"/>
      <x:color rgb="FF14503B"/>
      <x:name val="Calibri"/>
    </x:font>
    <x:font>
      <x:b/>
      <x:sz val="10"/>
      <x:color rgb="FF14503B"/>
      <x:name val="Calibri"/>
    </x:font>
    <x:font>
      <x:sz val="10"/>
      <x:color rgb="FF1C2B26"/>
      <x:name val="Calibri"/>
    </x:font>
    <x:font>
      <x:sz val="10"/>
      <x:color rgb="FF1C2B26"/>
      <x:name val="Calibri"/>
    </x:font>
    <x:font>
      <x:sz val="10"/>
      <x:color rgb="FFD9534F"/>
      <x:name val="Calibri"/>
    </x:font>
    <x:font>
      <x:sz val="10"/>
      <x:color rgb="FF1C2B26"/>
      <x:name val="Calibri"/>
    </x:font>
    <x:font>
      <x:sz val="10"/>
      <x:color rgb="FF1C2B26"/>
      <x:name val="Calibri"/>
    </x:font>
    <x:font>
      <x:b/>
      <x:sz val="10"/>
      <x:color rgb="FF1C2B26"/>
      <x:name val="Calibri"/>
    </x:font>
    <x:font>
      <x:b/>
      <x:sz val="10"/>
      <x:color rgb="FF1C2B26"/>
      <x:name val="Calibri"/>
    </x:font>
    <x:font>
      <x:b/>
      <x:sz val="10"/>
      <x:color rgb="FF1C2B26"/>
      <x:name val="Calibri"/>
    </x:font>
    <x:font>
      <x:b/>
      <x:sz val="10"/>
      <x:color rgb="FF1C2B26"/>
      <x:name val="Calibri"/>
    </x:font>
    <x:font>
      <x:sz val="10"/>
      <x:color rgb="FF1C2B26"/>
      <x:name val="Calibri"/>
    </x:font>
    <x:font>
      <x:sz val="10"/>
      <x:color rgb="FF8A6D3B"/>
      <x:name val="Calibri"/>
    </x:font>
    <x:font>
      <x:sz val="10"/>
      <x:color rgb="FF1C2B26"/>
      <x:name val="Calibri"/>
    </x:font>
    <x:font>
      <x:sz val="10"/>
      <x:color rgb="FF8A2A27"/>
      <x:name val="Calibri"/>
    </x:font>
    <x:font>
      <x:sz val="10"/>
      <x:color rgb="FF1C2B26"/>
      <x:name val="Calibri"/>
    </x:font>
    <x:font>
      <x:sz val="9"/>
      <x:color rgb="FF6B7D76"/>
      <x:name val="Calibri"/>
    </x:font>
    <x:font>
      <x:b/>
      <x:sz val="10"/>
      <x:color rgb="FF1F7A5A"/>
      <x:name val="Calibri"/>
    </x:font>
    <x:font>
      <x:b/>
      <x:sz val="10"/>
      <x:color rgb="FFE8A33D"/>
      <x:name val="Calibri"/>
    </x:font>
    <x:font>
      <x:b/>
      <x:sz val="10"/>
      <x:color rgb="FF1C2B26"/>
      <x:name val="Calibri"/>
    </x:font>
    <x:font>
      <x:b/>
      <x:sz val="10"/>
      <x:color rgb="FFD9534F"/>
      <x:name val="Calibri"/>
    </x:font>
    <x:font>
      <x:b/>
      <x:sz val="10"/>
      <x:color rgb="FF14503B"/>
      <x:name val="Calibri"/>
    </x:font>
    <x:font>
      <x:b/>
      <x:sz val="10"/>
      <x:color rgb="FF1C2B26"/>
      <x:name val="Calibri"/>
    </x:font>
    <x:font>
      <x:sz val="10"/>
      <x:color rgb="FF1C2B26"/>
      <x:name val="Calibri"/>
    </x:font>
    <x:font>
      <x:b/>
      <x:sz val="10"/>
      <x:color rgb="FFD9534F"/>
      <x:name val="Calibri"/>
    </x:font>
    <x:font>
      <x:b/>
      <x:sz val="10"/>
      <x:color rgb="FFD9534F"/>
      <x:name val="Calibri"/>
    </x:font>
    <x:font>
      <x:b/>
      <x:sz val="10"/>
      <x:color rgb="FF1F7A5A"/>
      <x:name val="Calibri"/>
    </x:font>
    <x:font>
      <x:b/>
      <x:sz val="10"/>
      <x:color rgb="FF1F7A5A"/>
      <x:name val="Calibri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6"/>
      <x:color rgb="FFFFFFFF"/>
      <x:name val="Aptos"/>
    </x:font>
    <x:font>
      <x:i/>
      <x:sz val="10"/>
      <x:color rgb="FF334155"/>
      <x:name val="Aptos"/>
    </x:font>
    <x:font>
      <x:b/>
      <x:sz val="14"/>
      <x:color rgb="FFFFFFFF"/>
      <x:name val="Aptos"/>
    </x:font>
    <x:font>
      <x:sz val="10"/>
      <x:color rgb="FFE5E7EB"/>
      <x:name val="Calibri"/>
    </x:font>
    <x:font>
      <x:sz val="9"/>
      <x:color rgb="FFE5E7EB"/>
      <x:name val="Calibri"/>
    </x:font>
    <x:font>
      <x:b/>
      <x:sz val="10"/>
      <x:color rgb="FFE5E7EB"/>
      <x:name val="Calibri"/>
    </x:font>
  </x:fonts>
  <x:fills count="22">
    <x:fill>
      <x:patternFill patternType="solid"/>
    </x:fill>
    <x:fill>
      <x:patternFill patternType="gray125"/>
    </x:fill>
    <x:fill>
      <x:patternFill patternType="solid">
        <x:fgColor rgb="FF4A1E3F"/>
      </x:patternFill>
    </x:fill>
    <x:fill>
      <x:patternFill patternType="solid">
        <x:fgColor rgb="FF4A1E3F"/>
      </x:patternFill>
    </x:fill>
    <x:fill>
      <x:patternFill patternType="solid">
        <x:fgColor rgb="FF4A1E3F"/>
      </x:patternFill>
    </x:fill>
    <x:fill>
      <x:patternFill patternType="solid">
        <x:fgColor rgb="FF14503B"/>
      </x:patternFill>
    </x:fill>
    <x:fill>
      <x:patternFill patternType="solid">
        <x:fgColor rgb="FF14503B"/>
      </x:patternFill>
    </x:fill>
    <x:fill>
      <x:patternFill patternType="solid">
        <x:fgColor rgb="FFE8F2EC"/>
      </x:patternFill>
    </x:fill>
    <x:fill>
      <x:patternFill patternType="solid">
        <x:fgColor rgb="FFE8F2EC"/>
      </x:patternFill>
    </x:fill>
    <x:fill>
      <x:patternFill patternType="solid">
        <x:fgColor rgb="FFE8F2EC"/>
      </x:patternFill>
    </x:fill>
    <x:fill>
      <x:patternFill patternType="solid">
        <x:fgColor rgb="FFE8F2EC"/>
      </x:patternFill>
    </x:fill>
    <x:fill>
      <x:patternFill patternType="solid">
        <x:fgColor rgb="FFE8F2EC"/>
      </x:patternFill>
    </x:fill>
    <x:fill>
      <x:patternFill patternType="solid">
        <x:fgColor rgb="FFE8F2EC"/>
      </x:patternFill>
    </x:fill>
    <x:fill>
      <x:patternFill patternType="solid">
        <x:fgColor rgb="FFE8F2EC"/>
      </x:patternFill>
    </x:fill>
    <x:fill>
      <x:patternFill patternType="solid">
        <x:fgColor rgb="FFFDF3E0"/>
      </x:patternFill>
    </x:fill>
    <x:fill>
      <x:patternFill patternType="solid">
        <x:fgColor rgb="FFFDF3E0"/>
      </x:patternFill>
    </x:fill>
    <x:fill>
      <x:patternFill patternType="solid">
        <x:fgColor rgb="FFFBEAEA"/>
      </x:patternFill>
    </x:fill>
    <x:fill>
      <x:patternFill patternType="solid">
        <x:fgColor rgb="FFFBEAEA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0B1F33"/>
      </x:patternFill>
    </x:fill>
    <x:fill>
      <x:patternFill patternType="solid">
        <x:fgColor rgb="FFE8F3F1"/>
      </x:patternFill>
    </x:fill>
  </x:fills>
  <x:borders count="49">
    <x:border/>
    <x:border/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28">
    <x:xf numFmtId="0" fontId="0" fillId="0" borderId="0" xfId="0"/>
    <x:xf numFmtId="0" fontId="1" fillId="1" borderId="1" xfId="0" applyFont="1" applyFill="1" applyBorder="1"/>
    <x:xf numFmtId="0" fontId="0" fillId="0" borderId="0" xfId="0"/>
    <x:xf numFmtId="0" fontId="2" fillId="2" borderId="0" xfId="0" applyFont="1" applyFill="1" applyAlignment="1">
      <x:alignment horizontal="left" vertical="center"/>
    </x:xf>
    <x:xf numFmtId="0" fontId="3" fillId="3" borderId="2" xfId="0" applyFont="1" applyFill="1" applyBorder="1" applyAlignment="1">
      <x:alignment horizontal="left" vertical="center"/>
    </x:xf>
    <x:xf numFmtId="0" fontId="4" fillId="4" borderId="0" xfId="0" applyFont="1" applyFill="1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6" fillId="0" borderId="3" xfId="0" applyFont="1" applyBorder="1" applyAlignment="1">
      <x:alignment horizontal="left" vertical="center"/>
    </x:xf>
    <x:xf numFmtId="165" fontId="7" fillId="0" borderId="4" xfId="0" applyNumberFormat="1" applyFont="1" applyBorder="1" applyAlignment="1">
      <x:alignment horizontal="right" vertical="center"/>
    </x:xf>
    <x:xf numFmtId="166" fontId="8" fillId="0" borderId="5" xfId="0" applyNumberFormat="1" applyFont="1" applyBorder="1" applyAlignment="1">
      <x:alignment horizontal="right" vertical="center"/>
    </x:xf>
    <x:xf numFmtId="167" fontId="9" fillId="0" borderId="6" xfId="0" applyNumberFormat="1" applyFont="1" applyBorder="1" applyAlignment="1">
      <x:alignment horizontal="right" vertical="center"/>
    </x:xf>
    <x:xf numFmtId="0" fontId="10" fillId="0" borderId="7" xfId="0" applyFont="1" applyBorder="1" applyAlignment="1">
      <x:alignment horizontal="right" vertical="center"/>
    </x:xf>
    <x:xf numFmtId="0" fontId="11" fillId="0" borderId="8" xfId="0" applyFont="1" applyBorder="1" applyAlignment="1">
      <x:alignment horizontal="right" vertical="center"/>
    </x:xf>
    <x:xf numFmtId="0" fontId="12" fillId="0" borderId="9" xfId="0" applyFont="1" applyBorder="1" applyAlignment="1">
      <x:alignment horizontal="left" vertical="center"/>
    </x:xf>
    <x:xf numFmtId="0" fontId="13" fillId="5" borderId="10" xfId="0" applyFont="1" applyFill="1" applyBorder="1" applyAlignment="1">
      <x:alignment horizontal="left" vertical="center"/>
    </x:xf>
    <x:xf numFmtId="0" fontId="14" fillId="6" borderId="11" xfId="0" applyFont="1" applyFill="1" applyBorder="1" applyAlignment="1">
      <x:alignment horizontal="left" vertical="center"/>
    </x:xf>
    <x:xf numFmtId="0" fontId="15" fillId="7" borderId="12" xfId="0" applyFont="1" applyFill="1" applyBorder="1" applyAlignment="1">
      <x:alignment horizontal="left" vertical="center"/>
    </x:xf>
    <x:xf numFmtId="0" fontId="16" fillId="8" borderId="13" xfId="0" applyFont="1" applyFill="1" applyBorder="1" applyAlignment="1">
      <x:alignment horizontal="right" vertical="center"/>
    </x:xf>
    <x:xf numFmtId="0" fontId="17" fillId="0" borderId="14" xfId="0" applyFont="1" applyBorder="1" applyAlignment="1">
      <x:alignment horizontal="left" vertical="center"/>
    </x:xf>
    <x:xf numFmtId="0" fontId="18" fillId="0" borderId="15" xfId="0" applyFont="1" applyBorder="1" applyAlignment="1">
      <x:alignment horizontal="right" vertical="center"/>
    </x:xf>
    <x:xf numFmtId="9" fontId="19" fillId="0" borderId="16" xfId="0" applyNumberFormat="1" applyFont="1" applyBorder="1" applyAlignment="1">
      <x:alignment horizontal="right" vertical="center"/>
    </x:xf>
    <x:xf numFmtId="168" fontId="20" fillId="0" borderId="17" xfId="0" applyNumberFormat="1" applyFont="1" applyBorder="1" applyAlignment="1">
      <x:alignment horizontal="right" vertical="center"/>
    </x:xf>
    <x:xf numFmtId="9" fontId="21" fillId="0" borderId="18" xfId="0" applyNumberFormat="1" applyFont="1" applyBorder="1" applyAlignment="1">
      <x:alignment horizontal="right" vertical="center"/>
    </x:xf>
    <x:xf numFmtId="0" fontId="22" fillId="9" borderId="19" xfId="0" applyFont="1" applyFill="1" applyBorder="1" applyAlignment="1">
      <x:alignment horizontal="left" vertical="center"/>
    </x:xf>
    <x:xf numFmtId="0" fontId="23" fillId="10" borderId="20" xfId="0" applyFont="1" applyFill="1" applyBorder="1" applyAlignment="1">
      <x:alignment horizontal="right" vertical="center"/>
    </x:xf>
    <x:xf numFmtId="9" fontId="24" fillId="11" borderId="21" xfId="0" applyNumberFormat="1" applyFont="1" applyFill="1" applyBorder="1" applyAlignment="1">
      <x:alignment horizontal="right" vertical="center"/>
    </x:xf>
    <x:xf numFmtId="169" fontId="25" fillId="12" borderId="22" xfId="0" applyNumberFormat="1" applyFont="1" applyFill="1" applyBorder="1" applyAlignment="1">
      <x:alignment horizontal="right" vertical="center"/>
    </x:xf>
    <x:xf numFmtId="0" fontId="26" fillId="13" borderId="23" xfId="0" applyFont="1" applyFill="1" applyBorder="1" applyAlignment="1">
      <x:alignment horizontal="left" vertical="center"/>
    </x:xf>
    <x:xf numFmtId="0" fontId="27" fillId="14" borderId="24" xfId="0" applyFont="1" applyFill="1" applyBorder="1" applyAlignment="1">
      <x:alignment horizontal="left" vertical="center" wrapText="1"/>
    </x:xf>
    <x:xf numFmtId="0" fontId="28" fillId="15" borderId="25" xfId="0" applyFont="1" applyFill="1" applyBorder="1" applyAlignment="1">
      <x:alignment horizontal="left" vertical="center"/>
    </x:xf>
    <x:xf numFmtId="0" fontId="29" fillId="16" borderId="26" xfId="0" applyFont="1" applyFill="1" applyBorder="1" applyAlignment="1">
      <x:alignment horizontal="left" vertical="center" wrapText="1"/>
    </x:xf>
    <x:xf numFmtId="0" fontId="30" fillId="17" borderId="27" xfId="0" applyFont="1" applyFill="1" applyBorder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0" fontId="32" fillId="0" borderId="28" xfId="0" applyFont="1" applyBorder="1" applyAlignment="1">
      <x:alignment horizontal="right" vertical="center"/>
    </x:xf>
    <x:xf numFmtId="0" fontId="33" fillId="0" borderId="29" xfId="0" applyFont="1" applyBorder="1" applyAlignment="1">
      <x:alignment horizontal="right" vertical="center"/>
    </x:xf>
    <x:xf numFmtId="0" fontId="34" fillId="0" borderId="30" xfId="0" applyFont="1" applyBorder="1" applyAlignment="1">
      <x:alignment horizontal="right" vertical="center"/>
    </x:xf>
    <x:xf numFmtId="0" fontId="35" fillId="0" borderId="31" xfId="0" applyFont="1" applyBorder="1" applyAlignment="1">
      <x:alignment horizontal="right" vertical="center"/>
    </x:xf>
    <x:xf numFmtId="0" fontId="36" fillId="0" borderId="0" xfId="0" applyFont="1" applyAlignment="1">
      <x:alignment horizontal="left" vertical="center"/>
    </x:xf>
    <x:xf numFmtId="0" fontId="37" fillId="0" borderId="32" xfId="0" applyFont="1" applyBorder="1" applyAlignment="1">
      <x:alignment horizontal="left" vertical="center"/>
    </x:xf>
    <x:xf numFmtId="0" fontId="38" fillId="0" borderId="33" xfId="0" applyFont="1" applyBorder="1" applyAlignment="1">
      <x:alignment horizontal="left" vertical="center" wrapText="1"/>
    </x:xf>
    <x:xf numFmtId="0" fontId="39" fillId="0" borderId="34" xfId="0" applyFont="1" applyBorder="1" applyAlignment="1">
      <x:alignment horizontal="center" vertical="center"/>
    </x:xf>
    <x:xf numFmtId="0" fontId="40" fillId="0" borderId="35" xfId="0" applyFont="1" applyBorder="1" applyAlignment="1">
      <x:alignment horizontal="left" vertical="center"/>
    </x:xf>
    <x:xf numFmtId="0" fontId="41" fillId="0" borderId="36" xfId="0" applyFont="1" applyBorder="1" applyAlignment="1">
      <x:alignment horizontal="left" vertical="center"/>
    </x:xf>
    <x:xf numFmtId="170" fontId="42" fillId="0" borderId="37" xfId="0" applyNumberFormat="1" applyFont="1" applyBorder="1" applyAlignment="1">
      <x:alignment horizontal="right" vertical="center"/>
    </x:xf>
    <x:xf numFmtId="0" fontId="0" fillId="18" borderId="0" xfId="0" applyNumberFormat="1" applyFont="1" applyFill="1" applyBorder="1"/>
    <x:xf numFmtId="0" fontId="43" fillId="18" borderId="0" xfId="0" applyNumberFormat="1" applyFont="1" applyFill="1" applyBorder="1"/>
    <x:xf numFmtId="0" fontId="43" fillId="18" borderId="38" xfId="0" applyNumberFormat="1" applyFont="1" applyFill="1" applyBorder="1"/>
    <x:xf numFmtId="0" fontId="43" fillId="18" borderId="39" xfId="0" applyNumberFormat="1" applyFont="1" applyFill="1" applyBorder="1"/>
    <x:xf numFmtId="0" fontId="43" fillId="19" borderId="38" xfId="0" applyNumberFormat="1" applyFont="1" applyFill="1" applyBorder="1"/>
    <x:xf numFmtId="0" fontId="44" fillId="19" borderId="38" xfId="0" applyNumberFormat="1" applyFont="1" applyFill="1" applyBorder="1"/>
    <x:xf numFmtId="0" fontId="44" fillId="19" borderId="38" xfId="0" applyNumberFormat="1" applyFont="1" applyFill="1" applyBorder="1" applyAlignment="1">
      <x:alignment wrapText="1"/>
    </x:xf>
    <x:xf numFmtId="0" fontId="43" fillId="18" borderId="40" xfId="0" applyNumberFormat="1" applyFont="1" applyFill="1" applyBorder="1"/>
    <x:xf numFmtId="0" fontId="43" fillId="18" borderId="41" xfId="0" applyNumberFormat="1" applyFont="1" applyFill="1" applyBorder="1"/>
    <x:xf numFmtId="0" fontId="43" fillId="18" borderId="42" xfId="0" applyNumberFormat="1" applyFont="1" applyFill="1" applyBorder="1"/>
    <x:xf numFmtId="0" fontId="43" fillId="18" borderId="43" xfId="0" applyNumberFormat="1" applyFont="1" applyFill="1" applyBorder="1"/>
    <x:xf numFmtId="0" fontId="43" fillId="18" borderId="44" xfId="0" applyNumberFormat="1" applyFont="1" applyFill="1" applyBorder="1"/>
    <x:xf numFmtId="0" fontId="43" fillId="18" borderId="45" xfId="0" applyNumberFormat="1" applyFont="1" applyFill="1" applyBorder="1"/>
    <x:xf numFmtId="0" fontId="43" fillId="18" borderId="46" xfId="0" applyNumberFormat="1" applyFont="1" applyFill="1" applyBorder="1"/>
    <x:xf numFmtId="0" fontId="43" fillId="18" borderId="47" xfId="0" applyNumberFormat="1" applyFont="1" applyFill="1" applyBorder="1"/>
    <x:xf numFmtId="0" fontId="43" fillId="19" borderId="40" xfId="0" applyNumberFormat="1" applyFont="1" applyFill="1" applyBorder="1"/>
    <x:xf numFmtId="0" fontId="43" fillId="19" borderId="41" xfId="0" applyNumberFormat="1" applyFont="1" applyFill="1" applyBorder="1"/>
    <x:xf numFmtId="0" fontId="43" fillId="19" borderId="42" xfId="0" applyNumberFormat="1" applyFont="1" applyFill="1" applyBorder="1"/>
    <x:xf numFmtId="0" fontId="44" fillId="19" borderId="40" xfId="0" applyNumberFormat="1" applyFont="1" applyFill="1" applyBorder="1"/>
    <x:xf numFmtId="0" fontId="44" fillId="19" borderId="41" xfId="0" applyNumberFormat="1" applyFont="1" applyFill="1" applyBorder="1"/>
    <x:xf numFmtId="0" fontId="44" fillId="19" borderId="42" xfId="0" applyNumberFormat="1" applyFont="1" applyFill="1" applyBorder="1"/>
    <x:xf numFmtId="0" fontId="44" fillId="19" borderId="40" xfId="0" applyNumberFormat="1" applyFont="1" applyFill="1" applyBorder="1" applyAlignment="1">
      <x:alignment wrapText="1"/>
    </x:xf>
    <x:xf numFmtId="0" fontId="44" fillId="19" borderId="41" xfId="0" applyNumberFormat="1" applyFont="1" applyFill="1" applyBorder="1" applyAlignment="1">
      <x:alignment wrapText="1"/>
    </x:xf>
    <x:xf numFmtId="0" fontId="44" fillId="19" borderId="42" xfId="0" applyNumberFormat="1" applyFont="1" applyFill="1" applyBorder="1" applyAlignment="1">
      <x:alignment wrapText="1"/>
    </x:xf>
    <x:xf numFmtId="200" fontId="43" fillId="18" borderId="0" xfId="0" applyNumberFormat="1" applyFont="1" applyFill="1" applyBorder="1"/>
    <x:xf numFmtId="200" fontId="43" fillId="18" borderId="46" xfId="0" applyNumberFormat="1" applyFont="1" applyFill="1" applyBorder="1"/>
    <x:xf numFmtId="201" fontId="43" fillId="18" borderId="0" xfId="0" applyNumberFormat="1" applyFont="1" applyFill="1" applyBorder="1"/>
    <x:xf numFmtId="201" fontId="43" fillId="18" borderId="46" xfId="0" applyNumberFormat="1" applyFont="1" applyFill="1" applyBorder="1"/>
    <x:xf numFmtId="202" fontId="43" fillId="18" borderId="0" xfId="0" applyNumberFormat="1" applyFont="1" applyFill="1" applyBorder="1"/>
    <x:xf numFmtId="202" fontId="43" fillId="18" borderId="46" xfId="0" applyNumberFormat="1" applyFont="1" applyFill="1" applyBorder="1"/>
    <x:xf numFmtId="202" fontId="43" fillId="18" borderId="44" xfId="0" applyNumberFormat="1" applyFont="1" applyFill="1" applyBorder="1"/>
    <x:xf numFmtId="202" fontId="43" fillId="18" borderId="47" xfId="0" applyNumberFormat="1" applyFont="1" applyFill="1" applyBorder="1"/>
    <x:xf numFmtId="203" fontId="43" fillId="18" borderId="43" xfId="0" applyNumberFormat="1" applyFont="1" applyFill="1" applyBorder="1"/>
    <x:xf numFmtId="203" fontId="43" fillId="18" borderId="45" xfId="0" applyNumberFormat="1" applyFont="1" applyFill="1" applyBorder="1"/>
    <x:xf numFmtId="202" fontId="43" fillId="18" borderId="43" xfId="0" applyNumberFormat="1" applyFont="1" applyFill="1" applyBorder="1"/>
    <x:xf numFmtId="202" fontId="43" fillId="18" borderId="45" xfId="0" applyNumberFormat="1" applyFont="1" applyFill="1" applyBorder="1"/>
    <x:xf numFmtId="201" fontId="43" fillId="18" borderId="43" xfId="0" applyNumberFormat="1" applyFont="1" applyFill="1" applyBorder="1"/>
    <x:xf numFmtId="201" fontId="43" fillId="18" borderId="45" xfId="0" applyNumberFormat="1" applyFont="1" applyFill="1" applyBorder="1"/>
    <x:xf numFmtId="200" fontId="43" fillId="18" borderId="44" xfId="0" applyNumberFormat="1" applyFont="1" applyFill="1" applyBorder="1"/>
    <x:xf numFmtId="200" fontId="43" fillId="18" borderId="47" xfId="0" applyNumberFormat="1" applyFont="1" applyFill="1" applyBorder="1"/>
    <x:xf numFmtId="201" fontId="43" fillId="18" borderId="44" xfId="0" applyNumberFormat="1" applyFont="1" applyFill="1" applyBorder="1"/>
    <x:xf numFmtId="201" fontId="43" fillId="18" borderId="47" xfId="0" applyNumberFormat="1" applyFont="1" applyFill="1" applyBorder="1"/>
    <x:xf numFmtId="200" fontId="43" fillId="18" borderId="43" xfId="0" applyNumberFormat="1" applyFont="1" applyFill="1" applyBorder="1"/>
    <x:xf numFmtId="200" fontId="43" fillId="18" borderId="45" xfId="0" applyNumberFormat="1" applyFont="1" applyFill="1" applyBorder="1"/>
    <x:xf numFmtId="203" fontId="43" fillId="18" borderId="0" xfId="0" applyNumberFormat="1" applyFont="1" applyFill="1" applyBorder="1"/>
    <x:xf numFmtId="203" fontId="43" fillId="18" borderId="46" xfId="0" applyNumberFormat="1" applyFont="1" applyFill="1" applyBorder="1"/>
    <x:xf numFmtId="0" fontId="43" fillId="20" borderId="0" xfId="0" applyNumberFormat="1" applyFont="1" applyFill="1" applyBorder="1"/>
    <x:xf numFmtId="0" fontId="45" fillId="20" borderId="0" xfId="0" applyNumberFormat="1" applyFont="1" applyFill="1" applyBorder="1"/>
    <x:xf numFmtId="0" fontId="43" fillId="21" borderId="0" xfId="0" applyNumberFormat="1" applyFont="1" applyFill="1" applyBorder="1"/>
    <x:xf numFmtId="0" fontId="46" fillId="21" borderId="0" xfId="0" applyNumberFormat="1" applyFont="1" applyFill="1" applyBorder="1"/>
    <x:xf numFmtId="0" fontId="43" fillId="19" borderId="0" xfId="0" applyNumberFormat="1" applyFont="1" applyFill="1" applyBorder="1"/>
    <x:xf numFmtId="0" fontId="44" fillId="19" borderId="0" xfId="0" applyNumberFormat="1" applyFont="1" applyFill="1" applyBorder="1"/>
    <x:xf numFmtId="0" fontId="44" fillId="19" borderId="48" xfId="0" applyNumberFormat="1" applyFont="1" applyFill="1" applyBorder="1"/>
    <x:xf numFmtId="0" fontId="43" fillId="18" borderId="48" xfId="0" applyNumberFormat="1" applyFont="1" applyFill="1" applyBorder="1"/>
    <x:xf numFmtId="200" fontId="43" fillId="18" borderId="48" xfId="0" applyNumberFormat="1" applyFont="1" applyFill="1" applyBorder="1"/>
    <x:xf numFmtId="0" fontId="44" fillId="19" borderId="48" xfId="0" applyNumberFormat="1" applyFont="1" applyFill="1" applyBorder="1" applyAlignment="1">
      <x:alignment wrapText="1"/>
    </x:xf>
    <x:xf numFmtId="0" fontId="47" fillId="20" borderId="0" xfId="0" applyNumberFormat="1" applyFont="1" applyFill="1" applyBorder="1"/>
    <x:xf numFmtId="204" fontId="43" fillId="18" borderId="0" xfId="0" applyNumberFormat="1" applyFont="1" applyFill="1" applyBorder="1"/>
    <x:xf numFmtId="0" fontId="47" fillId="20" borderId="48" xfId="0" applyNumberFormat="1" applyFont="1" applyFill="1" applyBorder="1"/>
    <x:xf numFmtId="204" fontId="43" fillId="18" borderId="48" xfId="0" applyNumberFormat="1" applyFont="1" applyFill="1" applyBorder="1"/>
    <x:xf numFmtId="201" fontId="7" fillId="0" borderId="2" xfId="0" applyNumberFormat="1" applyFont="1" applyFill="1" applyBorder="1" applyAlignment="1">
      <x:alignment horizontal="right" vertical="center"/>
    </x:xf>
    <x:xf numFmtId="201" fontId="8" fillId="0" borderId="2" xfId="0" applyNumberFormat="1" applyFont="1" applyFill="1" applyBorder="1" applyAlignment="1">
      <x:alignment horizontal="right" vertical="center"/>
    </x:xf>
    <x:xf numFmtId="201" fontId="9" fillId="0" borderId="2" xfId="0" applyNumberFormat="1" applyFont="1" applyFill="1" applyBorder="1" applyAlignment="1">
      <x:alignment horizontal="right" vertical="center"/>
    </x:xf>
    <x:xf numFmtId="200" fontId="3" fillId="0" borderId="2" xfId="0" applyNumberFormat="1" applyFont="1" applyFill="1" applyBorder="1" applyAlignment="1">
      <x:alignment horizontal="right" vertical="center"/>
    </x:xf>
    <x:xf numFmtId="200" fontId="22" fillId="7" borderId="2" xfId="0" applyNumberFormat="1" applyFont="1" applyFill="1" applyBorder="1" applyAlignment="1">
      <x:alignment horizontal="right" vertical="center"/>
    </x:xf>
    <x:xf numFmtId="203" fontId="19" fillId="0" borderId="2" xfId="0" applyNumberFormat="1" applyFont="1" applyFill="1" applyBorder="1" applyAlignment="1">
      <x:alignment horizontal="right" vertical="center"/>
    </x:xf>
    <x:xf numFmtId="203" fontId="3" fillId="0" borderId="2" xfId="0" applyNumberFormat="1" applyFont="1" applyFill="1" applyBorder="1" applyAlignment="1">
      <x:alignment horizontal="right" vertical="center"/>
    </x:xf>
    <x:xf numFmtId="203" fontId="22" fillId="7" borderId="2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22" fillId="7" borderId="2" xfId="0" applyNumberFormat="1" applyFont="1" applyFill="1" applyBorder="1" applyAlignment="1">
      <x:alignment horizontal="right" vertical="center"/>
    </x:xf>
    <x:xf numFmtId="0" fontId="48" fillId="0" borderId="2" xfId="0" applyNumberFormat="1" applyFont="1" applyFill="1" applyBorder="1" applyAlignment="1">
      <x:alignment horizontal="left" vertical="center"/>
    </x:xf>
    <x:xf numFmtId="200" fontId="48" fillId="0" borderId="2" xfId="0" applyNumberFormat="1" applyFont="1" applyFill="1" applyBorder="1" applyAlignment="1">
      <x:alignment horizontal="right" vertical="center"/>
    </x:xf>
    <x:xf numFmtId="203" fontId="48" fillId="0" borderId="2" xfId="0" applyNumberFormat="1" applyFont="1" applyFill="1" applyBorder="1" applyAlignment="1">
      <x:alignment horizontal="right" vertical="center"/>
    </x:xf>
    <x:xf numFmtId="201" fontId="48" fillId="0" borderId="2" xfId="0" applyNumberFormat="1" applyFont="1" applyFill="1" applyBorder="1" applyAlignment="1">
      <x:alignment horizontal="right" vertical="center"/>
    </x:xf>
    <x:xf numFmtId="0" fontId="49" fillId="0" borderId="0" xfId="0" applyNumberFormat="1" applyFont="1" applyFill="1" applyBorder="1" applyAlignment="1">
      <x:alignment horizontal="left" vertical="center"/>
    </x:xf>
    <x:xf numFmtId="0" fontId="48" fillId="0" borderId="0" xfId="0" applyNumberFormat="1" applyFont="1" applyFill="1" applyBorder="1" applyAlignment="1">
      <x:alignment horizontal="left" vertical="center"/>
    </x:xf>
    <x:xf numFmtId="0" fontId="48" fillId="0" borderId="2" xfId="0" applyNumberFormat="1" applyFont="1" applyFill="1" applyBorder="1" applyAlignment="1">
      <x:alignment horizontal="right" vertical="center"/>
    </x:xf>
    <x:xf numFmtId="165" fontId="48" fillId="0" borderId="2" xfId="0" applyNumberFormat="1" applyFont="1" applyFill="1" applyBorder="1" applyAlignment="1">
      <x:alignment horizontal="right" vertical="center"/>
    </x:xf>
    <x:xf numFmtId="9" fontId="48" fillId="0" borderId="2" xfId="0" applyNumberFormat="1" applyFont="1" applyFill="1" applyBorder="1" applyAlignment="1">
      <x:alignment horizontal="right" vertical="center"/>
    </x:xf>
    <x:xf numFmtId="0" fontId="50" fillId="0" borderId="2" xfId="0" applyNumberFormat="1" applyFont="1" applyFill="1" applyBorder="1" applyAlignment="1">
      <x:alignment horizontal="right" vertical="center"/>
    </x:xf>
    <x:xf numFmtId="0" fontId="50" fillId="0" borderId="2" xfId="0" applyNumberFormat="1" applyFont="1" applyFill="1" applyBorder="1" applyAlignment="1">
      <x:alignment horizontal="left" vertical="center"/>
    </x:xf>
    <x:xf numFmtId="0" fontId="48" fillId="0" borderId="2" xfId="0" applyNumberFormat="1" applyFont="1" applyFill="1" applyBorder="1" applyAlignment="1">
      <x:alignment horizontal="left" vertical="center" wrapText="1"/>
    </x:xf>
    <x:xf numFmtId="0" fontId="50" fillId="0" borderId="2" xfId="0" applyNumberFormat="1" applyFont="1" applyFill="1" applyBorder="1" applyAlignment="1">
      <x:alignment horizontal="center" vertical="center"/>
    </x:xf>
    <x:xf numFmtId="170" fontId="50" fillId="0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0d54af220444c" /><Relationship Type="http://schemas.openxmlformats.org/officeDocument/2006/relationships/theme" Target="/xl/theme/theme1.xml" Id="R667f384fed21456d" /><Relationship Type="http://schemas.openxmlformats.org/officeDocument/2006/relationships/sheetMetadata" Target="/xl/metadata1.xml" Id="R14d1d10ace144e60" /><Relationship Type="http://schemas.openxmlformats.org/officeDocument/2006/relationships/sharedStrings" Target="/xl/sharedStrings.xml" Id="R3a4e94404e124394" /><Relationship Type="http://schemas.openxmlformats.org/officeDocument/2006/relationships/worksheet" Target="/xl/worksheets/sheet1.xml" Id="R81ce6863adab47d6" /><Relationship Type="http://schemas.openxmlformats.org/officeDocument/2006/relationships/worksheet" Target="/xl/worksheets/sheet2.xml" Id="R1004363227224033" /><Relationship Type="http://schemas.openxmlformats.org/officeDocument/2006/relationships/worksheet" Target="/xl/worksheets/sheet3.xml" Id="Re32b9647e1c24627" /><Relationship Type="http://schemas.openxmlformats.org/officeDocument/2006/relationships/worksheet" Target="/xl/worksheets/sheet4.xml" Id="R7f1efaa34f6644a1" /><Relationship Type="http://schemas.openxmlformats.org/officeDocument/2006/relationships/worksheet" Target="/xl/worksheets/sheet5.xml" Id="R44611f95025442e0" /><Relationship Type="http://schemas.openxmlformats.org/officeDocument/2006/relationships/worksheet" Target="/xl/worksheets/sheet6.xml" Id="Re6d20ed71d1c4d7b" /><Relationship Type="http://schemas.openxmlformats.org/officeDocument/2006/relationships/worksheet" Target="/xl/worksheets/sheet7.xml" Id="R3b53c67c92bc4616" /><Relationship Type="http://schemas.openxmlformats.org/officeDocument/2006/relationships/worksheet" Target="/xl/worksheets/sheet8.xml" Id="Raf99ef4199c74ee8" /><Relationship Type="http://schemas.openxmlformats.org/officeDocument/2006/relationships/worksheet" Target="/xl/worksheets/sheet9.xml" Id="Rd050a46f508340c8" /><Relationship Type="http://schemas.openxmlformats.org/officeDocument/2006/relationships/worksheet" Target="/xl/worksheets/sheet10.xml" Id="R6a3bb82dd32b48ee" /><Relationship Type="http://schemas.openxmlformats.org/officeDocument/2006/relationships/worksheet" Target="/xl/worksheets/sheet11.xml" Id="Re1a03489602f4e0d" /><Relationship Type="http://schemas.openxmlformats.org/officeDocument/2006/relationships/worksheet" Target="/xl/worksheets/sheet12.xml" Id="R2fba84a874d04487" /><Relationship Type="http://schemas.openxmlformats.org/officeDocument/2006/relationships/worksheet" Target="/xl/worksheets/sheet13.xml" Id="R605f6fe2c18740eb" /><Relationship Type="http://schemas.openxmlformats.org/officeDocument/2006/relationships/worksheet" Target="/xl/worksheets/sheet14.xml" Id="R0d131ea0717f4a5a" /><Relationship Type="http://schemas.openxmlformats.org/officeDocument/2006/relationships/worksheet" Target="/xl/worksheets/sheet15.xml" Id="R1d24a689f11145ba" /><Relationship Type="http://schemas.openxmlformats.org/officeDocument/2006/relationships/worksheet" Target="/xl/worksheets/sheet16.xml" Id="Rc646ad2e9ce34456" /><Relationship Type="http://schemas.openxmlformats.org/officeDocument/2006/relationships/worksheet" Target="/xl/worksheets/sheet17.xml" Id="R0ab08f22a7ba4c9f" /><Relationship Type="http://schemas.openxmlformats.org/officeDocument/2006/relationships/worksheet" Target="/xl/worksheets/sheet18.xml" Id="Rcfe5a3bb62df48a6" /><Relationship Type="http://schemas.openxmlformats.org/officeDocument/2006/relationships/worksheet" Target="/xl/worksheets/sheet19.xml" Id="Rbeacb967523e44b6" /><Relationship Type="http://schemas.openxmlformats.org/officeDocument/2006/relationships/worksheet" Target="/xl/worksheets/sheet20.xml" Id="Rc121ab69db664339" /><Relationship Type="http://schemas.openxmlformats.org/officeDocument/2006/relationships/worksheet" Target="/xl/worksheets/sheet21.xml" Id="Re52c1e7e49ea453e" /><Relationship Type="http://schemas.openxmlformats.org/officeDocument/2006/relationships/worksheet" Target="/xl/worksheets/sheet22.xml" Id="R194d51034bb4430b" /><Relationship Type="http://schemas.openxmlformats.org/officeDocument/2006/relationships/worksheet" Target="/xl/worksheets/sheet23.xml" Id="R7164ab8adae04395" /><Relationship Type="http://schemas.openxmlformats.org/officeDocument/2006/relationships/worksheet" Target="/xl/worksheets/sheet24.xml" Id="Rfdecc5ccc1ef4e18" /><Relationship Type="http://schemas.openxmlformats.org/officeDocument/2006/relationships/worksheet" Target="/xl/worksheets/sheet25.xml" Id="R2e0f5938baff446f" /><Relationship Type="http://schemas.openxmlformats.org/officeDocument/2006/relationships/worksheet" Target="/xl/worksheets/sheet26.xml" Id="Raec5c049a3d24105" /><Relationship Type="http://schemas.openxmlformats.org/officeDocument/2006/relationships/worksheet" Target="/xl/worksheets/sheet27.xml" Id="R65486aef156247f0" /><Relationship Type="http://schemas.openxmlformats.org/officeDocument/2006/relationships/worksheet" Target="/xl/worksheets/sheet28.xml" Id="Rfb501f3b025b410b" /><Relationship Type="http://schemas.openxmlformats.org/officeDocument/2006/relationships/worksheet" Target="/xl/worksheets/sheet29.xml" Id="R9debe15d192c42e9" /><Relationship Type="http://schemas.openxmlformats.org/officeDocument/2006/relationships/worksheet" Target="/xl/worksheets/sheet30.xml" Id="Ra164be684bff47da" /><Relationship Type="http://schemas.openxmlformats.org/officeDocument/2006/relationships/worksheet" Target="/xl/worksheets/sheet31.xml" Id="R84f77b427b024171" /><Relationship Type="http://schemas.openxmlformats.org/officeDocument/2006/relationships/worksheet" Target="/xl/worksheets/sheet32.xml" Id="R1524283577784947" /><Relationship Type="http://schemas.openxmlformats.org/officeDocument/2006/relationships/worksheet" Target="/xl/worksheets/sheet33.xml" Id="R7b90d64ad3454d06" /><Relationship Type="http://schemas.openxmlformats.org/officeDocument/2006/relationships/worksheet" Target="/xl/worksheets/sheet34.xml" Id="Ra0550399cc7d40a7" /><Relationship Type="http://schemas.openxmlformats.org/officeDocument/2006/relationships/worksheet" Target="/xl/worksheets/sheet35.xml" Id="R8c8505a8b5654a65" /><Relationship Type="http://schemas.openxmlformats.org/officeDocument/2006/relationships/worksheet" Target="/xl/worksheets/sheet36.xml" Id="Rd85bb80f80714c5f" /><Relationship Type="http://schemas.openxmlformats.org/officeDocument/2006/relationships/worksheet" Target="/xl/worksheets/sheet37.xml" Id="Rf435be579e6c48d1" /><Relationship Type="http://schemas.openxmlformats.org/officeDocument/2006/relationships/worksheet" Target="/xl/worksheets/sheet38.xml" Id="Rd9e53ee2465742d2" /><Relationship Type="http://schemas.openxmlformats.org/officeDocument/2006/relationships/worksheet" Target="/xl/worksheets/sheet39.xml" Id="R06c3256ffcb04a37" /><Relationship Type="http://schemas.openxmlformats.org/officeDocument/2006/relationships/worksheet" Target="/xl/worksheets/sheet40.xml" Id="R126cf0e351284252" /><Relationship Type="http://schemas.openxmlformats.org/officeDocument/2006/relationships/worksheet" Target="/xl/worksheets/sheet41.xml" Id="Rb1d96513abe14020" /></Relationships>
</file>

<file path=xl/tables/table1.xml><?xml version="1.0" encoding="utf-8"?>
<x:table xmlns:x="http://schemas.openxmlformats.org/spreadsheetml/2006/main" id="1" name="tbl_CC_PORTADA" displayName="tbl_CC_PORTADA" ref="A1:A2" headerRowCount="1" totalsRowCount="0" totalsRowShown="0">
  <x:autoFilter ref="A1:A2"/>
  <x:tableColumns count="1">
    <x:tableColumn id="1" name="CONSOLIDADO COMERCIAL - NUVA OX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CC_sell_out" displayName="tbl_CC_sell_out" ref="A1:D7" headerRowCount="1" totalsRowCount="0" totalsRowShown="0">
  <x:autoFilter ref="A1:D7"/>
  <x:tableColumns count="4">
    <x:tableColumn id="1" name="ID_PDV"/>
    <x:tableColumn id="2" name="SKU"/>
    <x:tableColumn id="3" name="Uds_Vendidas"/>
    <x:tableColumn id="4" name="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CC_sell_in" displayName="tbl_CC_sell_in" ref="A1:H7" headerRowCount="1" totalsRowCount="0" totalsRowShown="0">
  <x:autoFilter ref="A1:H7"/>
  <x:tableColumns count="8">
    <x:tableColumn id="1" name="ID_Cliente"/>
    <x:tableColumn id="2" name="ID_PDV"/>
    <x:tableColumn id="3" name="SKU"/>
    <x:tableColumn id="4" name="Uds"/>
    <x:tableColumn id="5" name="Venta_Neta"/>
    <x:tableColumn id="6" name="Margen"/>
    <x:tableColumn id="7" name="Estado_Factura"/>
    <x:tableColumn id="8" name="Fecha_Ven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FIN_datos_ventas" displayName="tbl_FIN_datos_ventas" ref="A1:D7" headerRowCount="1" totalsRowCount="0" totalsRowShown="0">
  <x:autoFilter ref="A1:D7"/>
  <x:tableColumns count="4">
    <x:tableColumn id="1" name="Venta_Neta"/>
    <x:tableColumn id="2" name="Costo_Total"/>
    <x:tableColumn id="3" name="Margen"/>
    <x:tableColumn id="4" name="Estado_Factur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INV_INVENTARIO_PDV" displayName="tbl_INV_INVENTARIO_PDV" ref="A1:H7" headerRowCount="1" totalsRowCount="0" totalsRowShown="0">
  <x:autoFilter ref="A1:H7"/>
  <x:tableColumns count="8">
    <x:tableColumn id="1" name="ID_PDV"/>
    <x:tableColumn id="2" name="SKU"/>
    <x:tableColumn id="3" name="Stock_Inicial"/>
    <x:tableColumn id="4" name="Vendido"/>
    <x:tableColumn id="5" name="Disponible"/>
    <x:tableColumn id="6" name="Vel_Venta_sem"/>
    <x:tableColumn id="7" name="Semanas_Rest"/>
    <x:tableColumn id="8" name="Alert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INV_MOVIMIENTOS" displayName="tbl_INV_MOVIMIENTOS" ref="A1:G4" headerRowCount="1" totalsRowCount="0" totalsRowShown="0">
  <x:autoFilter ref="A1:G4"/>
  <x:tableColumns count="7">
    <x:tableColumn id="1" name="Fecha"/>
    <x:tableColumn id="2" name="Tipo"/>
    <x:tableColumn id="3" name="ID_PDV"/>
    <x:tableColumn id="4" name="SKU"/>
    <x:tableColumn id="5" name="Uds"/>
    <x:tableColumn id="6" name="Motivo"/>
    <x:tableColumn id="7" name="Res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INV_STOCK_CANAL" displayName="tbl_INV_STOCK_CANAL" ref="A1:I7" headerRowCount="1" totalsRowCount="0" totalsRowShown="0">
  <x:autoFilter ref="A1:I7"/>
  <x:tableColumns count="9">
    <x:tableColumn id="1" name="SKU"/>
    <x:tableColumn id="2" name="Stock_Total"/>
    <x:tableColumn id="3" name="Asignado_Jumbo"/>
    <x:tableColumn id="4" name="Asignado_Ruta"/>
    <x:tableColumn id="5" name="Stock_Seguridad"/>
    <x:tableColumn id="6" name="Comprometido"/>
    <x:tableColumn id="7" name="Disponible"/>
    <x:tableColumn id="8" name="Punto_Repos"/>
    <x:tableColumn id="9" name="Alert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INV_ref_SKU" displayName="tbl_INV_ref_SKU" ref="A1:C7" headerRowCount="1" totalsRowCount="0" totalsRowShown="0">
  <x:autoFilter ref="A1:C7"/>
  <x:tableColumns count="3">
    <x:tableColumn id="1" name="SKU"/>
    <x:tableColumn id="2" name="Descripcion"/>
    <x:tableColumn id="3" name="Format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INV_ref_PDV" displayName="tbl_INV_ref_PDV" ref="A1:D24" headerRowCount="1" totalsRowCount="0" totalsRowShown="0">
  <x:autoFilter ref="A1:D24"/>
  <x:tableColumns count="4">
    <x:tableColumn id="1" name="ID_PDV"/>
    <x:tableColumn id="2" name="Nombre_PDV"/>
    <x:tableColumn id="3" name="Resp"/>
    <x:tableColumn id="4" name="Estad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INV_ventas_crm" displayName="tbl_INV_ventas_crm" ref="A1:C7" headerRowCount="1" totalsRowCount="0" totalsRowShown="0">
  <x:autoFilter ref="A1:C7"/>
  <x:tableColumns count="3">
    <x:tableColumn id="1" name="ID_PDV"/>
    <x:tableColumn id="2" name="SKU"/>
    <x:tableColumn id="3" name="Ud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SIN_ref_SKU" displayName="tbl_SIN_ref_SKU" ref="A1:F8" headerRowCount="1" totalsRowCount="0" totalsRowShown="0">
  <x:autoFilter ref="A1:F8"/>
  <x:tableColumns count="6">
    <x:tableColumn id="1" name="SKU"/>
    <x:tableColumn id="2" name="Descripcion"/>
    <x:tableColumn id="3" name="Sabor"/>
    <x:tableColumn id="4" name="Formato"/>
    <x:tableColumn id="5" name="PVP_Neto"/>
    <x:tableColumn id="6" name="Costo_Uni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_SIN_ref_Clientes" displayName="tbl_SIN_ref_Clientes" ref="A1:E8" headerRowCount="1" totalsRowCount="0" totalsRowShown="0">
  <x:autoFilter ref="A1:E8"/>
  <x:tableColumns count="5">
    <x:tableColumn id="1" name="ID_Cliente"/>
    <x:tableColumn id="2" name="Cadena"/>
    <x:tableColumn id="3" name="Segmento"/>
    <x:tableColumn id="4" name="Plazo_Pago"/>
    <x:tableColumn id="5" name="Condic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_SOUT_SELL_OUT" displayName="tbl_SOUT_SELL_OUT" ref="A1:K7" headerRowCount="1" totalsRowCount="0" totalsRowShown="0">
  <x:autoFilter ref="A1:K7"/>
  <x:tableColumns count="11">
    <x:tableColumn id="1" name="Fecha"/>
    <x:tableColumn id="2" name="Semana_ISO"/>
    <x:tableColumn id="3" name="ID_Cliente"/>
    <x:tableColumn id="4" name="ID_PDV"/>
    <x:tableColumn id="5" name="SKU"/>
    <x:tableColumn id="6" name="Uds_Vendidas"/>
    <x:tableColumn id="7" name="PVP_Salida"/>
    <x:tableColumn id="8" name="Fuente"/>
    <x:tableColumn id="9" name="Stock_Observado"/>
    <x:tableColumn id="10" name="Resp"/>
    <x:tableColumn id="11" name="Nota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_SOUT_carga_clientes" displayName="tbl_SOUT_carga_clientes" ref="A1:F3" headerRowCount="1" totalsRowCount="0" totalsRowShown="0">
  <x:autoFilter ref="A1:F3"/>
  <x:tableColumns count="6">
    <x:tableColumn id="1" name="Fecha"/>
    <x:tableColumn id="2" name="ID_PDV"/>
    <x:tableColumn id="3" name="SKU"/>
    <x:tableColumn id="4" name="Uds_Vendidas"/>
    <x:tableColumn id="5" name="PVP_Salida"/>
    <x:tableColumn id="6" name="Fuen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_SOUT_carga_cencosud" displayName="tbl_SOUT_carga_cencosud" ref="A1:F3" headerRowCount="1" totalsRowCount="0" totalsRowShown="0">
  <x:autoFilter ref="A1:F3"/>
  <x:tableColumns count="6">
    <x:tableColumn id="1" name="Fecha"/>
    <x:tableColumn id="2" name="ID_PDV"/>
    <x:tableColumn id="3" name="SKU"/>
    <x:tableColumn id="4" name="Uds_Vendidas"/>
    <x:tableColumn id="5" name="PVP_Salida"/>
    <x:tableColumn id="6" name="Fuen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bl_CRM_11_Tareas" displayName="tbl_CRM_11_Tareas" ref="A1:G7" headerRowCount="1" totalsRowCount="0" totalsRowShown="0">
  <x:autoFilter ref="A1:G7"/>
  <x:tableColumns count="7">
    <x:tableColumn id="1" name="Fecha"/>
    <x:tableColumn id="2" name="Tema"/>
    <x:tableColumn id="3" name="Decision"/>
    <x:tableColumn id="4" name="Responsable"/>
    <x:tableColumn id="5" name="Estado"/>
    <x:tableColumn id="6" name="Dependencia"/>
    <x:tableColumn id="7" name="Comentario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bl_CRM_10_Margen" displayName="tbl_CRM_10_Margen" ref="A1:J4" headerRowCount="1" totalsRowCount="0" totalsRowShown="0">
  <x:autoFilter ref="A1:J4"/>
  <x:tableColumns count="10">
    <x:tableColumn id="1" name="Canal"/>
    <x:tableColumn id="2" name="PVP_cIVA"/>
    <x:tableColumn id="3" name="%Desc"/>
    <x:tableColumn id="4" name="Margen_Frontal"/>
    <x:tableColumn id="5" name="Rappel"/>
    <x:tableColumn id="6" name="Merma"/>
    <x:tableColumn id="7" name="Costo_Logistica"/>
    <x:tableColumn id="8" name="Neto_Canal"/>
    <x:tableColumn id="9" name="Costo"/>
    <x:tableColumn id="10" name="Margen_Bruto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bl_CRM_09_Sell_In" displayName="tbl_CRM_09_Sell_In" ref="A1:S8" headerRowCount="1" totalsRowCount="0" totalsRowShown="0">
  <x:autoFilter ref="A1:S8"/>
  <x:tableColumns count="19">
    <x:tableColumn id="1" name="ID_Venta"/>
    <x:tableColumn id="2" name="Fecha"/>
    <x:tableColumn id="3" name="ID_Cliente"/>
    <x:tableColumn id="4" name="ID_PDV"/>
    <x:tableColumn id="5" name="SKU"/>
    <x:tableColumn id="6" name="N_OC"/>
    <x:tableColumn id="7" name="N_Factura"/>
    <x:tableColumn id="8" name="Uds"/>
    <x:tableColumn id="9" name="Precio_Unit_Neto"/>
    <x:tableColumn id="10" name="%Desc"/>
    <x:tableColumn id="11" name="Venta_Neta"/>
    <x:tableColumn id="12" name="Costo_Total"/>
    <x:tableColumn id="13" name="Margen"/>
    <x:tableColumn id="14" name="Estado_Factura"/>
    <x:tableColumn id="15" name="Plazo_Dias"/>
    <x:tableColumn id="16" name="Fecha_Venc"/>
    <x:tableColumn id="17" name="Fecha_Pago"/>
    <x:tableColumn id="18" name="Resp"/>
    <x:tableColumn id="19" name="Nota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bl_CRM_08_Pedidos" displayName="tbl_CRM_08_Pedidos" ref="A1:M4" headerRowCount="1" totalsRowCount="0" totalsRowShown="0">
  <x:autoFilter ref="A1:M4"/>
  <x:tableColumns count="13">
    <x:tableColumn id="1" name="ID_Pedido"/>
    <x:tableColumn id="2" name="ID_Cliente"/>
    <x:tableColumn id="3" name="Fecha_OC"/>
    <x:tableColumn id="4" name="N_OC"/>
    <x:tableColumn id="5" name="Monto_OC"/>
    <x:tableColumn id="6" name="Fecha_Despacho"/>
    <x:tableColumn id="7" name="N_Guia"/>
    <x:tableColumn id="8" name="Fecha_Factura"/>
    <x:tableColumn id="9" name="N_Factura"/>
    <x:tableColumn id="10" name="Estado"/>
    <x:tableColumn id="11" name="Fecha_Pago_Real"/>
    <x:tableColumn id="12" name="Dias_Ciclo"/>
    <x:tableColumn id="13" name="Nota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bl_CRM_06_Reg_PDV" displayName="tbl_CRM_06_Reg_PDV" ref="A1:Q3" headerRowCount="1" totalsRowCount="0" totalsRowShown="0">
  <x:autoFilter ref="A1:Q3"/>
  <x:tableColumns count="17">
    <x:tableColumn id="1" name="Fecha"/>
    <x:tableColumn id="2" name="ID_PDV"/>
    <x:tableColumn id="3" name="Resp"/>
    <x:tableColumn id="4" name="Formato_Presente"/>
    <x:tableColumn id="5" name="Stock_Entregado_Prev"/>
    <x:tableColumn id="6" name="Stock_Observado"/>
    <x:tableColumn id="7" name="Venta_Estimada"/>
    <x:tableColumn id="8" name="Precio_Obs"/>
    <x:tableColumn id="9" name="Ubicacion"/>
    <x:tableColumn id="10" name="Calidad_Exhib"/>
    <x:tableColumn id="11" name="Competidores"/>
    <x:tableColumn id="12" name="Comentarios"/>
    <x:tableColumn id="13" name="Necesita_Repos"/>
    <x:tableColumn id="14" name="Cant_Sugerida"/>
    <x:tableColumn id="15" name="Problema"/>
    <x:tableColumn id="16" name="Foto_Link"/>
    <x:tableColumn id="17" name="Proxima_Accion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bl_CRM_05_Visitas" displayName="tbl_CRM_05_Visitas" ref="A1:J4" headerRowCount="1" totalsRowCount="0" totalsRowShown="0">
  <x:autoFilter ref="A1:J4"/>
  <x:tableColumns count="10">
    <x:tableColumn id="1" name="ID_Visita"/>
    <x:tableColumn id="2" name="Fecha"/>
    <x:tableColumn id="3" name="Resp"/>
    <x:tableColumn id="4" name="ID_Cliente"/>
    <x:tableColumn id="5" name="ID_PDV"/>
    <x:tableColumn id="6" name="Motivo"/>
    <x:tableColumn id="7" name="Objetivo"/>
    <x:tableColumn id="8" name="Estado_Visita"/>
    <x:tableColumn id="9" name="Proxima_Accion"/>
    <x:tableColumn id="10" name="Fecha_Proxima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bl_CRM_04_Prioridad" displayName="tbl_CRM_04_Prioridad" ref="A1:J7" headerRowCount="1" totalsRowCount="0" totalsRowShown="0">
  <x:autoFilter ref="A1:J7"/>
  <x:tableColumns count="10">
    <x:tableColumn id="1" name="ID_PDV"/>
    <x:tableColumn id="2" name="Calce_Consumidor"/>
    <x:tableColumn id="3" name="Potencial_Rotacion"/>
    <x:tableColumn id="4" name="Facilidad_Op"/>
    <x:tableColumn id="5" name="Aprendizaje"/>
    <x:tableColumn id="6" name="Riesgo_Stock"/>
    <x:tableColumn id="7" name="Cercania"/>
    <x:tableColumn id="8" name="Condiciones"/>
    <x:tableColumn id="9" name="Score_Total"/>
    <x:tableColumn id="10" name="Prioridad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bl_CRM_02_PDV" displayName="tbl_CRM_02_PDV" ref="A1:M24" headerRowCount="1" totalsRowCount="0" totalsRowShown="0">
  <x:autoFilter ref="A1:M24"/>
  <x:tableColumns count="13">
    <x:tableColumn id="1" name="ID_PDV"/>
    <x:tableColumn id="2" name="ID_Cliente"/>
    <x:tableColumn id="3" name="Nombre_PDV"/>
    <x:tableColumn id="4" name="Comuna"/>
    <x:tableColumn id="5" name="Region"/>
    <x:tableColumn id="6" name="Resp"/>
    <x:tableColumn id="7" name="Estado"/>
    <x:tableColumn id="8" name="Formato_Recom"/>
    <x:tableColumn id="9" name="Frecuencia_Visita"/>
    <x:tableColumn id="10" name="Fecha_Entrada"/>
    <x:tableColumn id="11" name="Meta_Ago"/>
    <x:tableColumn id="12" name="Meta_Sep"/>
    <x:tableColumn id="13" name="Meta_Oct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bl_CRM_01_Clientes" displayName="tbl_CRM_01_Clientes" ref="A1:O8" headerRowCount="1" totalsRowCount="0" totalsRowShown="0">
  <x:autoFilter ref="A1:O8"/>
  <x:tableColumns count="15">
    <x:tableColumn id="1" name="ID_Cliente"/>
    <x:tableColumn id="2" name="Cadena"/>
    <x:tableColumn id="3" name="Segmento"/>
    <x:tableColumn id="4" name="SubCanal"/>
    <x:tableColumn id="5" name="Plazo_Pago"/>
    <x:tableColumn id="6" name="Condicion"/>
    <x:tableColumn id="7" name="%Desc_Acordado"/>
    <x:tableColumn id="8" name="Contacto"/>
    <x:tableColumn id="9" name="Resp"/>
    <x:tableColumn id="10" name="Estado"/>
    <x:tableColumn id="11" name="Fecha_Ult_Contacto"/>
    <x:tableColumn id="12" name="Proxima_Accion"/>
    <x:tableColumn id="13" name="Fecha_Proxima"/>
    <x:tableColumn id="14" name="Fuente"/>
    <x:tableColumn id="15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41ec0a326e4b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7143cb7b7c45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40bb88cd7e4d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009c5fcde0a74b9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5.xml" Id="Re8ec5057e74341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6.xml" Id="Re41daf62af6f4fa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7.xml" Id="Ra5e0c146fab340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8.xml" Id="R72b988e52dd2406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9.xml" Id="Rcad29d60a4194c1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0.xml" Id="Red7e2d63907241f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1.xml" Id="Rd4135fa1325742b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2.xml" Id="R5495fe76aa4047e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3.xml" Id="Rf257aa09b05e4d7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4.xml" Id="R56fbf0d837c64e1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5.xml" Id="R664346a1d1c749aa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6.xml" Id="Rf144e6ab068e4198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17.xml" Id="R4a28a0ee35424c0a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18.xml" Id="R589746bf6232493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19.xml" Id="R795d7605036442e6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20.xml" Id="R8afeb888a3754794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21.xml" Id="Rebff13f9ad384e6e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22.xml" Id="Re306444b736b4841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23.xml" Id="R191d625943984b0f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24.xml" Id="R46f3a1fa43594e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30.83203125" customWidth="1"/>
    <x:col min="2" max="2" width="17.83203125" customWidth="1"/>
    <x:col min="3" max="3" width="15.83203125" customWidth="1"/>
    <x:col min="4" max="4" width="17.83203125" customWidth="1"/>
    <x:col min="5" max="5" width="17.83203125" customWidth="1"/>
    <x:col min="6" max="6" width="14.83203125" customWidth="1"/>
  </x:cols>
  <x:sheetData>
    <x:row r="1" ht="30" customHeight="1">
      <x:c r="A1" s="3" t="str">
        <x:v>NUVA OXI · Dashboard Comercial</x:v>
      </x:c>
      <x:c r="B1" s="4" t="str"/>
      <x:c r="C1" s="4" t="str"/>
      <x:c r="D1" s="4" t="str"/>
      <x:c r="E1" s="4" t="str"/>
      <x:c r="F1" s="4" t="str"/>
    </x:row>
    <x:row r="2" ht="15" customHeight="1">
      <x:c r="A2" s="5" t="str">
        <x:v>Maestro generado 2026-07-09  -  Piloto comercial  -  Confidencial / uso interno</x:v>
      </x:c>
      <x:c r="B2" s="4"/>
      <x:c r="C2" s="4"/>
      <x:c r="D2" s="4"/>
      <x:c r="E2" s="4"/>
      <x:c r="F2" s="4"/>
    </x:row>
    <x:row r="3" ht="15" customHeight="1">
      <x:c r="A3" s="6" t="str"/>
      <x:c r="B3" s="6" t="str"/>
      <x:c r="C3" s="6" t="str"/>
      <x:c r="D3" s="6" t="str"/>
      <x:c r="E3" s="6" t="str"/>
      <x:c r="F3" s="6" t="str"/>
    </x:row>
    <x:row r="4" ht="15" customHeight="1">
      <x:c r="A4" s="7" t="str">
        <x:v>VENTA NETA (SELL-IN)</x:v>
      </x:c>
      <x:c r="B4" s="7" t="str">
        <x:v>MARGEN BRUTO</x:v>
      </x:c>
      <x:c r="C4" s="7" t="str">
        <x:v>CxC PENDIENTE</x:v>
      </x:c>
      <x:c r="D4" s="7" t="str">
        <x:v>COBERTURA (2026-01)</x:v>
      </x:c>
      <x:c r="E4" s="7" t="str">
        <x:v>SELL-OUT TOTAL</x:v>
      </x:c>
      <x:c r="F4" s="6" t="str"/>
    </x:row>
    <x:row r="5" ht="24" customHeight="1">
      <x:c r="A5" s="104" t="n">
        <x:f>SUMIF('CRM_09_Sell_In'!$A$2:$A$1000,"&gt;0",'CRM_09_Sell_In'!$K$2:$K$1000)</x:f>
        <x:v>358656</x:v>
      </x:c>
      <x:c r="B5" s="105" t="n">
        <x:f>SUMIF('CRM_09_Sell_In'!$A$2:$A$1000,"&gt;0",'CRM_09_Sell_In'!$M$2:$M$1000)</x:f>
        <x:v>288406</x:v>
      </x:c>
      <x:c r="C5" s="106" t="n">
        <x:f>SUMIFS('CRM_09_Sell_In'!$K$2:$K$1000,'CRM_09_Sell_In'!$A$2:$A$1000,"&gt;0",'CRM_09_Sell_In'!$N$2:$N$1000,"Emitida")</x:f>
        <x:v>301933</x:v>
      </x:c>
      <x:c r="D5" s="11" t="str">
        <x:f>COUNTA('CRM_09_Sell_In'!$D$2:$D$7)&amp;"/"&amp;COUNTA('CRM_02_PDV'!$A$2:$A$1000)&amp;" PDV - "&amp;TEXT(COUNTA('CRM_09_Sell_In'!$D$2:$D$7)/COUNTA('CRM_02_PDV'!$A$2:$A$1000),"0%")</x:f>
        <x:v>6/23 PDV - 26%</x:v>
      </x:c>
      <x:c r="E5" s="12" t="str">
        <x:f>SUM('SOUT_SELL_OUT'!$F$2:$F$1000)&amp;" u"</x:f>
        <x:v>40 u</x:v>
      </x:c>
      <x:c r="F5" s="6" t="str"/>
    </x:row>
    <x:row r="6" ht="15" customHeight="1">
      <x:c r="A6" s="13" t="str">
        <x:f>SUMIF('CRM_09_Sell_In'!$A$2:$A$1000,"&gt;0",'CRM_09_Sell_In'!$H$2:$H$1000)&amp;" u - bruto c/IVA $"&amp;TEXT(SUMIF('CRM_09_Sell_In'!$A$2:$A$1000,"&gt;0",'CRM_09_Sell_In'!$K$2:$K$1000)*1.19,"#,##0")</x:f>
        <x:v>92 u - bruto c/IVA $426,801</x:v>
      </x:c>
      <x:c r="B6" s="13" t="str">
        <x:f>"costo total $"&amp;TEXT(SUM('CRM_09_Sell_In'!$L$2:$L$1000),"#,##0")</x:f>
        <x:v>costo total $70,250</x:v>
      </x:c>
      <x:c r="C6" s="13" t="str">
        <x:f>COUNTIF('CRM_09_Sell_In'!$N$2:$N$1000,"Emitida")&amp;" facturas emitidas"</x:f>
        <x:v>3 facturas emitidas</x:v>
      </x:c>
      <x:c r="D6" s="13" t="str">
        <x:f>(--(COUNTIFS('CRM_09_Sell_In'!$C$2:$C$1000,"CL-CEN",'CRM_09_Sell_In'!$A$2:$A$1000,"&gt;0")&gt;0)+--(COUNTIFS('CRM_09_Sell_In'!$C$2:$C$1000,"CL-DEL",'CRM_09_Sell_In'!$A$2:$A$1000,"&gt;0")&gt;0)+--(COUNTIFS('CRM_09_Sell_In'!$C$2:$C$1000,"CL-ALN",'CRM_09_Sell_In'!$A$2:$A$1000,"&gt;0")&gt;0)+--(COUNTIFS('CRM_09_Sell_In'!$C$2:$C$1000,"CL-CORG",'CRM_09_Sell_In'!$A$2:$A$1000,"&gt;0")&gt;0)+--(COUNTIFS('CRM_09_Sell_In'!$C$2:$C$1000,"CL-FORK",'CRM_09_Sell_In'!$A$2:$A$1000,"&gt;0")&gt;0)+--(COUNTIFS('CRM_09_Sell_In'!$C$2:$C$1000,"CL-PIR",'CRM_09_Sell_In'!$A$2:$A$1000,"&gt;0")&gt;0)+--(COUNTIFS('CRM_09_Sell_In'!$C$2:$C$1000,"CL-RITZ",'CRM_09_Sell_In'!$A$2:$A$1000,"&gt;0")&gt;0))&amp;"/"&amp;COUNTA('CRM_01_Clientes'!$A$2:$A$100)&amp;" clientes con venta"</x:f>
        <x:v>5/7 clientes con venta</x:v>
      </x:c>
      <x:c r="E6" s="13" t="str">
        <x:f>TEXT(SUM('SOUT_SELL_OUT'!$F$2:$F$1000)/SUMIF('CRM_09_Sell_In'!$A$2:$A$1000,"&gt;0",'CRM_09_Sell_In'!$H$2:$H$1000),"0%")&amp;" rotacion global"</x:f>
        <x:v>43% rotacion global</x:v>
      </x:c>
      <x:c r="F6" s="6" t="str"/>
    </x:row>
    <x:row r="7" ht="15" customHeight="1">
      <x:c r="A7" s="6" t="str"/>
      <x:c r="B7" s="6" t="str"/>
      <x:c r="C7" s="6" t="str"/>
      <x:c r="D7" s="6" t="str"/>
      <x:c r="E7" s="6" t="str"/>
      <x:c r="F7" s="6" t="str"/>
    </x:row>
    <x:row r="8" ht="20" customHeight="1">
      <x:c r="A8" s="14" t="str">
        <x:v>🔄 Sell-In vs Sell-Out por punto de venta</x:v>
      </x:c>
      <x:c r="B8" s="15" t="str"/>
      <x:c r="C8" s="15" t="str"/>
      <x:c r="D8" s="15" t="str"/>
      <x:c r="E8" s="15" t="str"/>
      <x:c r="F8" s="15" t="str"/>
    </x:row>
    <x:row r="9" ht="15" customHeight="1">
      <x:c r="A9" s="16" t="str">
        <x:v>PDV</x:v>
      </x:c>
      <x:c r="B9" s="17" t="str">
        <x:v>Sell-In (u)</x:v>
      </x:c>
      <x:c r="C9" s="17" t="str">
        <x:v>Sell-Out (u)</x:v>
      </x:c>
      <x:c r="D9" s="17" t="str">
        <x:v>Rotación</x:v>
      </x:c>
      <x:c r="E9" s="17" t="str">
        <x:v>Venta Neta</x:v>
      </x:c>
      <x:c r="F9" s="17" t="str"/>
    </x:row>
    <x:row r="10" ht="15" customHeight="1">
      <x:c r="A10" s="114" t="str">
        <x:f>INDEX('CRM_02_PDV'!$C$2:$C$1000,MATCH("J001",'CRM_02_PDV'!$A$2:$A$1000,0))</x:f>
        <x:v>Jumbo Parque Arauco</x:v>
      </x:c>
      <x:c r="B10" s="115" t="n">
        <x:f>SUMIFS('CRM_09_Sell_In'!$H$2:$H$1000,'CRM_09_Sell_In'!$D$2:$D$1000,"J001")</x:f>
        <x:v>50</x:v>
      </x:c>
      <x:c r="C10" s="115" t="n">
        <x:f>SUMIFS('SOUT_SELL_OUT'!$F$2:$F$1000,'SOUT_SELL_OUT'!$D$2:$D$1000,"J001")</x:f>
        <x:v>5</x:v>
      </x:c>
      <x:c r="D10" s="116" t="n">
        <x:f>IFERROR(C10/B10,0)</x:f>
        <x:v>0.1</x:v>
      </x:c>
      <x:c r="E10" s="117" t="n">
        <x:f>SUMIFS('CRM_09_Sell_In'!$K$2:$K$1000,'CRM_09_Sell_In'!$D$2:$D$1000,"J001")</x:f>
        <x:v>247899</x:v>
      </x:c>
      <x:c r="F10" s="18" t="str"/>
    </x:row>
    <x:row r="11" ht="15" customHeight="1">
      <x:c r="A11" s="114" t="str">
        <x:f>INDEX('CRM_02_PDV'!$C$2:$C$1000,MATCH("H001",'CRM_02_PDV'!$A$2:$A$1000,0))</x:f>
        <x:v>Ritz-Carlton Santiago</x:v>
      </x:c>
      <x:c r="B11" s="115" t="n">
        <x:f>SUMIFS('CRM_09_Sell_In'!$H$2:$H$1000,'CRM_09_Sell_In'!$D$2:$D$1000,"H001")</x:f>
        <x:v>8</x:v>
      </x:c>
      <x:c r="C11" s="115" t="n">
        <x:f>SUMIFS('SOUT_SELL_OUT'!$F$2:$F$1000,'SOUT_SELL_OUT'!$D$2:$D$1000,"H001")</x:f>
        <x:v>8</x:v>
      </x:c>
      <x:c r="D11" s="116" t="n">
        <x:f>IFERROR(C11/B11,0)</x:f>
        <x:v>1</x:v>
      </x:c>
      <x:c r="E11" s="117" t="n">
        <x:f>SUMIFS('CRM_09_Sell_In'!$K$2:$K$1000,'CRM_09_Sell_In'!$D$2:$D$1000,"H001")</x:f>
        <x:v>39664</x:v>
      </x:c>
      <x:c r="F11" s="18" t="str"/>
    </x:row>
    <x:row r="12" ht="15" customHeight="1">
      <x:c r="A12" s="114" t="str">
        <x:f>INDEX('CRM_02_PDV'!$C$2:$C$1000,MATCH("P001",'CRM_02_PDV'!$A$2:$A$1000,0))</x:f>
        <x:v>Pirque Centro del Vino</x:v>
      </x:c>
      <x:c r="B12" s="115" t="n">
        <x:f>SUMIFS('CRM_09_Sell_In'!$H$2:$H$1000,'CRM_09_Sell_In'!$D$2:$D$1000,"P001")</x:f>
        <x:v>5</x:v>
      </x:c>
      <x:c r="C12" s="115" t="n">
        <x:f>SUMIFS('SOUT_SELL_OUT'!$F$2:$F$1000,'SOUT_SELL_OUT'!$D$2:$D$1000,"P001")</x:f>
        <x:v>4</x:v>
      </x:c>
      <x:c r="D12" s="116" t="n">
        <x:f>IFERROR(C12/B12,0)</x:f>
        <x:v>0.8</x:v>
      </x:c>
      <x:c r="E12" s="117" t="n">
        <x:f>SUMIFS('CRM_09_Sell_In'!$K$2:$K$1000,'CRM_09_Sell_In'!$D$2:$D$1000,"P001")</x:f>
        <x:v>24790</x:v>
      </x:c>
      <x:c r="F12" s="18" t="str"/>
    </x:row>
    <x:row r="13" ht="15" customHeight="1">
      <x:c r="A13" s="114" t="str">
        <x:f>INDEX('CRM_02_PDV'!$C$2:$C$1000,MATCH("D001",'CRM_02_PDV'!$A$2:$A$1000,0))</x:f>
        <x:v>Dellanatura Las Condes</x:v>
      </x:c>
      <x:c r="B13" s="115" t="n">
        <x:f>SUMIFS('CRM_09_Sell_In'!$H$2:$H$1000,'CRM_09_Sell_In'!$D$2:$D$1000,"D001")</x:f>
        <x:v>12</x:v>
      </x:c>
      <x:c r="C13" s="115" t="n">
        <x:f>SUMIFS('SOUT_SELL_OUT'!$F$2:$F$1000,'SOUT_SELL_OUT'!$D$2:$D$1000,"D001")</x:f>
        <x:v>10</x:v>
      </x:c>
      <x:c r="D13" s="116" t="n">
        <x:f>IFERROR(C13/B13,0)</x:f>
        <x:v>0.8333333333333334</x:v>
      </x:c>
      <x:c r="E13" s="117" t="n">
        <x:f>SUMIFS('CRM_09_Sell_In'!$K$2:$K$1000,'CRM_09_Sell_In'!$D$2:$D$1000,"D001")</x:f>
        <x:v>19160</x:v>
      </x:c>
      <x:c r="F13" s="18" t="str"/>
    </x:row>
    <x:row r="14" ht="15" customHeight="1">
      <x:c r="A14" s="114" t="str">
        <x:f>INDEX('CRM_02_PDV'!$C$2:$C$1000,MATCH("AN01",'CRM_02_PDV'!$A$2:$A$1000,0))</x:f>
        <x:v>All Nutrition Vitacura</x:v>
      </x:c>
      <x:c r="B14" s="115" t="n">
        <x:f>SUMIFS('CRM_09_Sell_In'!$H$2:$H$1000,'CRM_09_Sell_In'!$D$2:$D$1000,"AN01")</x:f>
        <x:v>9</x:v>
      </x:c>
      <x:c r="C14" s="115" t="n">
        <x:f>SUMIFS('SOUT_SELL_OUT'!$F$2:$F$1000,'SOUT_SELL_OUT'!$D$2:$D$1000,"AN01")</x:f>
        <x:v>7</x:v>
      </x:c>
      <x:c r="D14" s="116" t="n">
        <x:f>IFERROR(C14/B14,0)</x:f>
        <x:v>0.7777777777777778</x:v>
      </x:c>
      <x:c r="E14" s="117" t="n">
        <x:f>SUMIFS('CRM_09_Sell_In'!$K$2:$K$1000,'CRM_09_Sell_In'!$D$2:$D$1000,"AN01")</x:f>
        <x:v>14370</x:v>
      </x:c>
      <x:c r="F14" s="18" t="str"/>
    </x:row>
    <x:row r="15" ht="15" customHeight="1">
      <x:c r="A15" s="114" t="str">
        <x:f>INDEX('CRM_02_PDV'!$C$2:$C$1000,MATCH("D002",'CRM_02_PDV'!$A$2:$A$1000,0))</x:f>
        <x:v>Dellanatura Providencia</x:v>
      </x:c>
      <x:c r="B15" s="115" t="n">
        <x:f>SUMIFS('CRM_09_Sell_In'!$H$2:$H$1000,'CRM_09_Sell_In'!$D$2:$D$1000,"D002")</x:f>
        <x:v>8</x:v>
      </x:c>
      <x:c r="C15" s="115" t="n">
        <x:f>SUMIFS('SOUT_SELL_OUT'!$F$2:$F$1000,'SOUT_SELL_OUT'!$D$2:$D$1000,"D002")</x:f>
        <x:v>6</x:v>
      </x:c>
      <x:c r="D15" s="116" t="n">
        <x:f>IFERROR(C15/B15,0)</x:f>
        <x:v>0.75</x:v>
      </x:c>
      <x:c r="E15" s="117" t="n">
        <x:f>SUMIFS('CRM_09_Sell_In'!$K$2:$K$1000,'CRM_09_Sell_In'!$D$2:$D$1000,"D002")</x:f>
        <x:v>12773</x:v>
      </x:c>
      <x:c r="F15" s="18" t="str"/>
    </x:row>
    <x:row r="16" ht="15" customHeight="1">
      <x:c r="A16" s="23" t="str">
        <x:v>TOTAL</x:v>
      </x:c>
      <x:c r="B16" s="108" t="n">
        <x:f>SUM(B10:B15)</x:f>
        <x:v>92</x:v>
      </x:c>
      <x:c r="C16" s="108" t="n">
        <x:f>SUM(C10:C15)</x:f>
        <x:v>40</x:v>
      </x:c>
      <x:c r="D16" s="111" t="n">
        <x:f>IFERROR(C16/B16,0)</x:f>
        <x:v>0.43478260869565216</x:v>
      </x:c>
      <x:c r="E16" s="113" t="n">
        <x:f>SUM(E10:E15)</x:f>
        <x:v>358656</x:v>
      </x:c>
      <x:c r="F16" s="27" t="str"/>
    </x:row>
    <x:row r="17" ht="15" customHeight="1">
      <x:c r="A17" s="6" t="str"/>
      <x:c r="B17" s="6" t="str"/>
      <x:c r="C17" s="6" t="str"/>
      <x:c r="D17" s="6" t="str"/>
      <x:c r="E17" s="6" t="str"/>
      <x:c r="F17" s="6" t="str"/>
    </x:row>
    <x:row r="18" ht="20" customHeight="1">
      <x:c r="A18" s="14" t="str">
        <x:v>🚨 Alertas del piloto</x:v>
      </x:c>
      <x:c r="B18" s="15" t="str"/>
      <x:c r="C18" s="15" t="str"/>
      <x:c r="D18" s="15" t="str"/>
      <x:c r="E18" s="15" t="str"/>
      <x:c r="F18" s="15" t="str"/>
    </x:row>
    <x:row r="19" ht="30" customHeight="1">
      <x:c r="A19" s="28" t="str">
        <x:v>⚠️ Jumbo Parque Arauco: rotación 10% (sell-in 50 / sell-out 5) — posible sobre-stock en tienda.</x:v>
      </x:c>
      <x:c r="B19" s="29" t="str"/>
      <x:c r="C19" s="29" t="str"/>
      <x:c r="D19" s="29" t="str"/>
      <x:c r="E19" s="29" t="str"/>
      <x:c r="F19" s="29" t="str"/>
    </x:row>
    <x:row r="20" ht="30" customHeight="1">
      <x:c r="A20" s="30" t="str">
        <x:v>💸 Factura por cobrar: $301.933 en 3 factura(s) emitida(s). Mayor: Cencosud $247.899 (plazo 30d) — gestionar cobranza antes del vencimiento.</x:v>
      </x:c>
      <x:c r="B20" s="31" t="str"/>
      <x:c r="C20" s="31" t="str"/>
      <x:c r="D20" s="31" t="str"/>
      <x:c r="E20" s="31" t="str"/>
      <x:c r="F20" s="31" t="str"/>
    </x:row>
    <x:row r="21" ht="30" customHeight="1">
      <x:c r="A21" s="28" t="str">
        <x:v>📣 Marketing sin plan: no hay campañas ni activaciones cargadas — crear activaciones en PDV y campañas de redes para empujar el sell-out.</x:v>
      </x:c>
      <x:c r="B21" s="29" t="str"/>
      <x:c r="C21" s="29" t="str"/>
      <x:c r="D21" s="29" t="str"/>
      <x:c r="E21" s="29" t="str"/>
      <x:c r="F21" s="29" t="str"/>
    </x:row>
    <x:row r="22" ht="30" customHeight="1">
      <x:c r="A22" s="28" t="str">
        <x:v>📸 Instagram @nuva_oxi: dar protagonismo a la fundadora para hacer la cuenta más auténtica. Sumar rostro, relato y detrás de escena.</x:v>
      </x:c>
      <x:c r="B22" s="29" t="str"/>
      <x:c r="C22" s="29" t="str"/>
      <x:c r="D22" s="29" t="str"/>
      <x:c r="E22" s="29" t="str"/>
      <x:c r="F22" s="29" t="str"/>
    </x:row>
    <x:row r="23" ht="15" customHeight="1">
      <x:c r="A23" s="118" t="str">
        <x:v>Resultado operativo estimado: $13.406 · caja hoy $56.723 (falta cobrar $301.933)</x:v>
      </x:c>
      <x:c r="B23" s="119" t="str"/>
      <x:c r="C23" s="119" t="str"/>
      <x:c r="D23" s="119" t="str"/>
      <x:c r="E23" s="119" t="str"/>
      <x:c r="F23" s="119" t="str"/>
    </x:row>
    <x:row r="24" ht="15" customHeight="1">
      <x:c r="A24" s="6" t="str"/>
      <x:c r="B24" s="6" t="str"/>
      <x:c r="C24" s="6" t="str"/>
      <x:c r="D24" s="6" t="str"/>
      <x:c r="E24" s="6" t="str"/>
      <x:c r="F24" s="6" t="str"/>
    </x:row>
    <x:row r="25" ht="20" customHeight="1">
      <x:c r="A25" s="14" t="str">
        <x:v>🏷️ Resumen por canal de venta</x:v>
      </x:c>
      <x:c r="B25" s="15" t="str"/>
      <x:c r="C25" s="15" t="str"/>
      <x:c r="D25" s="15" t="str"/>
      <x:c r="E25" s="15" t="str"/>
      <x:c r="F25" s="15" t="str"/>
    </x:row>
    <x:row r="26" ht="15" customHeight="1">
      <x:c r="A26" s="16" t="str">
        <x:v>Canal</x:v>
      </x:c>
      <x:c r="B26" s="17" t="str">
        <x:v>Clientes</x:v>
      </x:c>
      <x:c r="C26" s="17" t="str">
        <x:v>PDV</x:v>
      </x:c>
      <x:c r="D26" s="17" t="str">
        <x:v>Uds</x:v>
      </x:c>
      <x:c r="E26" s="17" t="str">
        <x:v>Venta Neta</x:v>
      </x:c>
      <x:c r="F26" s="17" t="str">
        <x:v>% Venta</x:v>
      </x:c>
    </x:row>
    <x:row r="27" ht="15" customHeight="1">
      <x:c r="A27" s="114" t="str">
        <x:v>Retail Moderno</x:v>
      </x:c>
      <x:c r="B27" s="120">
        <x:v>1</x:v>
      </x:c>
      <x:c r="C27" s="120">
        <x:v>1</x:v>
      </x:c>
      <x:c r="D27" s="120">
        <x:v>50</x:v>
      </x:c>
      <x:c r="E27" s="121">
        <x:v>247899</x:v>
      </x:c>
      <x:c r="F27" s="122">
        <x:v>0.6911887714132763</x:v>
      </x:c>
    </x:row>
    <x:row r="28" ht="15" customHeight="1">
      <x:c r="A28" s="114" t="str">
        <x:v>Canal Especializado</x:v>
      </x:c>
      <x:c r="B28" s="120">
        <x:v>2</x:v>
      </x:c>
      <x:c r="C28" s="120">
        <x:v>3</x:v>
      </x:c>
      <x:c r="D28" s="120">
        <x:v>29</x:v>
      </x:c>
      <x:c r="E28" s="121">
        <x:v>46303</x:v>
      </x:c>
      <x:c r="F28" s="122">
        <x:v>0.12910142309064954</x:v>
      </x:c>
    </x:row>
    <x:row r="29" ht="15" customHeight="1">
      <x:c r="A29" s="114" t="str">
        <x:v>HoReCa</x:v>
      </x:c>
      <x:c r="B29" s="120">
        <x:v>1</x:v>
      </x:c>
      <x:c r="C29" s="120">
        <x:v>1</x:v>
      </x:c>
      <x:c r="D29" s="120">
        <x:v>8</x:v>
      </x:c>
      <x:c r="E29" s="121">
        <x:v>39664</x:v>
      </x:c>
      <x:c r="F29" s="122">
        <x:v>0.11059064953604568</x:v>
      </x:c>
    </x:row>
    <x:row r="30" ht="15" customHeight="1">
      <x:c r="A30" s="114" t="str">
        <x:v>Canal Turistico</x:v>
      </x:c>
      <x:c r="B30" s="120">
        <x:v>1</x:v>
      </x:c>
      <x:c r="C30" s="120">
        <x:v>1</x:v>
      </x:c>
      <x:c r="D30" s="120">
        <x:v>5</x:v>
      </x:c>
      <x:c r="E30" s="121">
        <x:v>24790</x:v>
      </x:c>
      <x:c r="F30" s="122">
        <x:v>0.06911915596002854</x:v>
      </x:c>
    </x:row>
    <x:row r="31" ht="15" customHeight="1">
      <x:c r="A31" s="23" t="str">
        <x:v>TOTAL</x:v>
      </x:c>
      <x:c r="B31" s="27" t="str"/>
      <x:c r="C31" s="27" t="str"/>
      <x:c r="D31" s="24">
        <x:v>92</x:v>
      </x:c>
      <x:c r="E31" s="26">
        <x:v>358656</x:v>
      </x:c>
      <x:c r="F31" s="25">
        <x:v>1</x:v>
      </x:c>
    </x:row>
    <x:row r="32" ht="15" customHeight="1">
      <x:c r="A32" s="6" t="str"/>
      <x:c r="B32" s="6" t="str"/>
      <x:c r="C32" s="6" t="str"/>
      <x:c r="D32" s="6" t="str"/>
      <x:c r="E32" s="6" t="str"/>
      <x:c r="F32" s="6" t="str"/>
    </x:row>
    <x:row r="33" ht="20" customHeight="1">
      <x:c r="A33" s="14" t="str">
        <x:v>🍫 Top SKU · venta neta</x:v>
      </x:c>
      <x:c r="B33" s="15" t="str"/>
      <x:c r="C33" s="15" t="str"/>
      <x:c r="D33" s="15" t="str"/>
      <x:c r="E33" s="15" t="str"/>
      <x:c r="F33" s="15" t="str"/>
    </x:row>
    <x:row r="34" ht="15" customHeight="1">
      <x:c r="A34" s="16" t="str">
        <x:v>SKU</x:v>
      </x:c>
      <x:c r="B34" s="17" t="str">
        <x:v>Producto</x:v>
      </x:c>
      <x:c r="C34" s="17" t="str">
        <x:v>Uds</x:v>
      </x:c>
      <x:c r="D34" s="17" t="str">
        <x:v>Venta</x:v>
      </x:c>
      <x:c r="E34" s="17" t="str">
        <x:v>% Part.</x:v>
      </x:c>
      <x:c r="F34" s="17" t="str"/>
    </x:row>
    <x:row r="35" ht="15" customHeight="1">
      <x:c r="A35" s="114" t="str">
        <x:v>SKU-FRU-4</x:v>
      </x:c>
      <x:c r="B35" s="114" t="str">
        <x:f>INDEX('CRM_03_SKU'!$B$2:$B$1000,MATCH("SKU-FRU-4",'CRM_03_SKU'!$A$2:$A$1000,0))</x:f>
        <x:v>Estuche Frutal 4x35g</x:v>
      </x:c>
      <x:c r="C35" s="115" t="n">
        <x:f>SUMIFS('CRM_09_Sell_In'!$H$2:$H$1000,'CRM_09_Sell_In'!$E$2:$E$1000,"SKU-FRU-4")</x:f>
        <x:v>50</x:v>
      </x:c>
      <x:c r="D35" s="117" t="n">
        <x:f>SUMIFS('CRM_09_Sell_In'!$K$2:$K$1000,'CRM_09_Sell_In'!$E$2:$E$1000,"SKU-FRU-4")</x:f>
        <x:v>247899</x:v>
      </x:c>
      <x:c r="E35" s="116" t="n">
        <x:f>IFERROR(D35/$A$5,0)</x:f>
        <x:v>0.6911887714132763</x:v>
      </x:c>
      <x:c r="F35" s="18" t="str"/>
    </x:row>
    <x:row r="36" ht="15" customHeight="1">
      <x:c r="A36" s="114" t="str">
        <x:v>SKU-MAN-4</x:v>
      </x:c>
      <x:c r="B36" s="114" t="str">
        <x:f>INDEX('CRM_03_SKU'!$B$2:$B$1000,MATCH("SKU-MAN-4",'CRM_03_SKU'!$A$2:$A$1000,0))</x:f>
        <x:v>Estuche Mani 4x35g</x:v>
      </x:c>
      <x:c r="C36" s="115" t="n">
        <x:f>SUMIFS('CRM_09_Sell_In'!$H$2:$H$1000,'CRM_09_Sell_In'!$E$2:$E$1000,"SKU-MAN-4")</x:f>
        <x:v>8</x:v>
      </x:c>
      <x:c r="D36" s="117" t="n">
        <x:f>SUMIFS('CRM_09_Sell_In'!$K$2:$K$1000,'CRM_09_Sell_In'!$E$2:$E$1000,"SKU-MAN-4")</x:f>
        <x:v>39664</x:v>
      </x:c>
      <x:c r="E36" s="116" t="n">
        <x:f>IFERROR(D36/$A$5,0)</x:f>
        <x:v>0.11059064953604568</x:v>
      </x:c>
      <x:c r="F36" s="18" t="str"/>
    </x:row>
    <x:row r="37" ht="15" customHeight="1">
      <x:c r="A37" s="114" t="str">
        <x:v>SKU-CAC-4</x:v>
      </x:c>
      <x:c r="B37" s="114" t="str">
        <x:f>INDEX('CRM_03_SKU'!$B$2:$B$1000,MATCH("SKU-CAC-4",'CRM_03_SKU'!$A$2:$A$1000,0))</x:f>
        <x:v>Estuche Cacao 4x35g</x:v>
      </x:c>
      <x:c r="C37" s="115" t="n">
        <x:f>SUMIFS('CRM_09_Sell_In'!$H$2:$H$1000,'CRM_09_Sell_In'!$E$2:$E$1000,"SKU-CAC-4")</x:f>
        <x:v>5</x:v>
      </x:c>
      <x:c r="D37" s="117" t="n">
        <x:f>SUMIFS('CRM_09_Sell_In'!$K$2:$K$1000,'CRM_09_Sell_In'!$E$2:$E$1000,"SKU-CAC-4")</x:f>
        <x:v>24790</x:v>
      </x:c>
      <x:c r="E37" s="116" t="n">
        <x:f>IFERROR(D37/$A$5,0)</x:f>
        <x:v>0.06911915596002854</x:v>
      </x:c>
      <x:c r="F37" s="18" t="str"/>
    </x:row>
    <x:row r="38" ht="15" customHeight="1">
      <x:c r="A38" s="114" t="str">
        <x:v>SKU-CAC-U</x:v>
      </x:c>
      <x:c r="B38" s="114" t="str">
        <x:f>INDEX('CRM_03_SKU'!$B$2:$B$1000,MATCH("SKU-CAC-U",'CRM_03_SKU'!$A$2:$A$1000,0))</x:f>
        <x:v>Barra Cacao 35g</x:v>
      </x:c>
      <x:c r="C38" s="115" t="n">
        <x:f>SUMIFS('CRM_09_Sell_In'!$H$2:$H$1000,'CRM_09_Sell_In'!$E$2:$E$1000,"SKU-CAC-U")</x:f>
        <x:v>12</x:v>
      </x:c>
      <x:c r="D38" s="117" t="n">
        <x:f>SUMIFS('CRM_09_Sell_In'!$K$2:$K$1000,'CRM_09_Sell_In'!$E$2:$E$1000,"SKU-CAC-U")</x:f>
        <x:v>19160</x:v>
      </x:c>
      <x:c r="E38" s="116" t="n">
        <x:f>IFERROR(D38/$A$5,0)</x:f>
        <x:v>0.05342166309778729</x:v>
      </x:c>
      <x:c r="F38" s="18" t="str"/>
    </x:row>
    <x:row r="39" ht="15" customHeight="1">
      <x:c r="A39" s="114" t="str">
        <x:v>SKU-FRU-U</x:v>
      </x:c>
      <x:c r="B39" s="114" t="str">
        <x:f>INDEX('CRM_03_SKU'!$B$2:$B$1000,MATCH("SKU-FRU-U",'CRM_03_SKU'!$A$2:$A$1000,0))</x:f>
        <x:v>Barra Frutal 35g</x:v>
      </x:c>
      <x:c r="C39" s="115" t="n">
        <x:f>SUMIFS('CRM_09_Sell_In'!$H$2:$H$1000,'CRM_09_Sell_In'!$E$2:$E$1000,"SKU-FRU-U")</x:f>
        <x:v>9</x:v>
      </x:c>
      <x:c r="D39" s="117" t="n">
        <x:f>SUMIFS('CRM_09_Sell_In'!$K$2:$K$1000,'CRM_09_Sell_In'!$E$2:$E$1000,"SKU-FRU-U")</x:f>
        <x:v>14370</x:v>
      </x:c>
      <x:c r="E39" s="116" t="n">
        <x:f>IFERROR(D39/$A$5,0)</x:f>
        <x:v>0.04006624732334047</x:v>
      </x:c>
      <x:c r="F39" s="18" t="str"/>
    </x:row>
    <x:row r="40" ht="15" customHeight="1">
      <x:c r="A40" s="114" t="str">
        <x:v>SKU-MAN-U</x:v>
      </x:c>
      <x:c r="B40" s="114" t="str">
        <x:f>INDEX('CRM_03_SKU'!$B$2:$B$1000,MATCH("SKU-MAN-U",'CRM_03_SKU'!$A$2:$A$1000,0))</x:f>
        <x:v>Barra Mani 35g</x:v>
      </x:c>
      <x:c r="C40" s="115" t="n">
        <x:f>SUMIFS('CRM_09_Sell_In'!$H$2:$H$1000,'CRM_09_Sell_In'!$E$2:$E$1000,"SKU-MAN-U")</x:f>
        <x:v>8</x:v>
      </x:c>
      <x:c r="D40" s="117" t="n">
        <x:f>SUMIFS('CRM_09_Sell_In'!$K$2:$K$1000,'CRM_09_Sell_In'!$E$2:$E$1000,"SKU-MAN-U")</x:f>
        <x:v>12773</x:v>
      </x:c>
      <x:c r="E40" s="116" t="n">
        <x:f>IFERROR(D40/$A$5,0)</x:f>
        <x:v>0.03561351266952177</x:v>
      </x:c>
      <x:c r="F40" s="18" t="str"/>
    </x:row>
    <x:row r="41" ht="15" customHeight="1">
      <x:c r="A41" s="6" t="str"/>
      <x:c r="B41" s="6" t="str"/>
      <x:c r="C41" s="6" t="str"/>
      <x:c r="D41" s="6" t="str"/>
      <x:c r="E41" s="6" t="str"/>
      <x:c r="F41" s="6" t="str"/>
    </x:row>
    <x:row r="42" ht="20" customHeight="1">
      <x:c r="A42" s="14" t="str">
        <x:v>🥇 Participación por cliente (share)</x:v>
      </x:c>
      <x:c r="B42" s="15" t="str"/>
      <x:c r="C42" s="15" t="str"/>
      <x:c r="D42" s="15" t="str"/>
      <x:c r="E42" s="15" t="str"/>
      <x:c r="F42" s="15" t="str"/>
    </x:row>
    <x:row r="43" ht="15" customHeight="1">
      <x:c r="A43" s="16" t="str">
        <x:v>Cliente</x:v>
      </x:c>
      <x:c r="B43" s="17" t="str">
        <x:v>Uds</x:v>
      </x:c>
      <x:c r="C43" s="17" t="str">
        <x:v>% Uds</x:v>
      </x:c>
      <x:c r="D43" s="17" t="str">
        <x:v>Venta Neta</x:v>
      </x:c>
      <x:c r="E43" s="17" t="str">
        <x:v>% $</x:v>
      </x:c>
      <x:c r="F43" s="17" t="str"/>
    </x:row>
    <x:row r="44" ht="15" customHeight="1">
      <x:c r="A44" s="114" t="str">
        <x:f>INDEX('CRM_01_Clientes'!$B$2:$B$1000,MATCH("CL-CEN",'CRM_01_Clientes'!$A$2:$A$1000,0))</x:f>
        <x:v>Cencosud</x:v>
      </x:c>
      <x:c r="B44" s="115" t="n">
        <x:f>SUMIFS('CRM_09_Sell_In'!$H$2:$H$1000,'CRM_09_Sell_In'!$C$2:$C$1000,"CL-CEN")</x:f>
        <x:v>50</x:v>
      </x:c>
      <x:c r="C44" s="116" t="n">
        <x:f>IFERROR(B44/$B$49,0)</x:f>
        <x:v>0.5434782608695652</x:v>
      </x:c>
      <x:c r="D44" s="117" t="n">
        <x:f>SUMIFS('CRM_09_Sell_In'!$K$2:$K$1000,'CRM_09_Sell_In'!$C$2:$C$1000,"CL-CEN")</x:f>
        <x:v>247899</x:v>
      </x:c>
      <x:c r="E44" s="116" t="n">
        <x:f>IFERROR(D44/$D$49,0)</x:f>
        <x:v>0.6911887714132763</x:v>
      </x:c>
      <x:c r="F44" s="18" t="str"/>
    </x:row>
    <x:row r="45" ht="15" customHeight="1">
      <x:c r="A45" s="114" t="str">
        <x:f>INDEX('CRM_01_Clientes'!$B$2:$B$1000,MATCH("CL-RITZ",'CRM_01_Clientes'!$A$2:$A$1000,0))</x:f>
        <x:v>Ritz-Carlton</x:v>
      </x:c>
      <x:c r="B45" s="115" t="n">
        <x:f>SUMIFS('CRM_09_Sell_In'!$H$2:$H$1000,'CRM_09_Sell_In'!$C$2:$C$1000,"CL-RITZ")</x:f>
        <x:v>8</x:v>
      </x:c>
      <x:c r="C45" s="116" t="n">
        <x:f>IFERROR(B45/$B$49,0)</x:f>
        <x:v>0.08695652173913043</x:v>
      </x:c>
      <x:c r="D45" s="117" t="n">
        <x:f>SUMIFS('CRM_09_Sell_In'!$K$2:$K$1000,'CRM_09_Sell_In'!$C$2:$C$1000,"CL-RITZ")</x:f>
        <x:v>39664</x:v>
      </x:c>
      <x:c r="E45" s="116" t="n">
        <x:f>IFERROR(D45/$D$49,0)</x:f>
        <x:v>0.11059064953604568</x:v>
      </x:c>
      <x:c r="F45" s="18" t="str"/>
    </x:row>
    <x:row r="46" ht="15" customHeight="1">
      <x:c r="A46" s="114" t="str">
        <x:f>INDEX('CRM_01_Clientes'!$B$2:$B$1000,MATCH("CL-DEL",'CRM_01_Clientes'!$A$2:$A$1000,0))</x:f>
        <x:v>Dellanatura</x:v>
      </x:c>
      <x:c r="B46" s="115" t="n">
        <x:f>SUMIFS('CRM_09_Sell_In'!$H$2:$H$1000,'CRM_09_Sell_In'!$C$2:$C$1000,"CL-DEL")</x:f>
        <x:v>20</x:v>
      </x:c>
      <x:c r="C46" s="116" t="n">
        <x:f>IFERROR(B46/$B$49,0)</x:f>
        <x:v>0.21739130434782608</x:v>
      </x:c>
      <x:c r="D46" s="117" t="n">
        <x:f>SUMIFS('CRM_09_Sell_In'!$K$2:$K$1000,'CRM_09_Sell_In'!$C$2:$C$1000,"CL-DEL")</x:f>
        <x:v>31933</x:v>
      </x:c>
      <x:c r="E46" s="116" t="n">
        <x:f>IFERROR(D46/$D$49,0)</x:f>
        <x:v>0.08903517576730907</x:v>
      </x:c>
      <x:c r="F46" s="18" t="str"/>
    </x:row>
    <x:row r="47" ht="15" customHeight="1">
      <x:c r="A47" s="114" t="str">
        <x:f>INDEX('CRM_01_Clientes'!$B$2:$B$1000,MATCH("CL-PIR",'CRM_01_Clientes'!$A$2:$A$1000,0))</x:f>
        <x:v>Pirque CDV</x:v>
      </x:c>
      <x:c r="B47" s="115" t="n">
        <x:f>SUMIFS('CRM_09_Sell_In'!$H$2:$H$1000,'CRM_09_Sell_In'!$C$2:$C$1000,"CL-PIR")</x:f>
        <x:v>5</x:v>
      </x:c>
      <x:c r="C47" s="116" t="n">
        <x:f>IFERROR(B47/$B$49,0)</x:f>
        <x:v>0.05434782608695652</x:v>
      </x:c>
      <x:c r="D47" s="117" t="n">
        <x:f>SUMIFS('CRM_09_Sell_In'!$K$2:$K$1000,'CRM_09_Sell_In'!$C$2:$C$1000,"CL-PIR")</x:f>
        <x:v>24790</x:v>
      </x:c>
      <x:c r="E47" s="116" t="n">
        <x:f>IFERROR(D47/$D$49,0)</x:f>
        <x:v>0.06911915596002854</x:v>
      </x:c>
      <x:c r="F47" s="18" t="str"/>
    </x:row>
    <x:row r="48" ht="15" customHeight="1">
      <x:c r="A48" s="114" t="str">
        <x:f>INDEX('CRM_01_Clientes'!$B$2:$B$1000,MATCH("CL-ALN",'CRM_01_Clientes'!$A$2:$A$1000,0))</x:f>
        <x:v>All Nutrition</x:v>
      </x:c>
      <x:c r="B48" s="115" t="n">
        <x:f>SUMIFS('CRM_09_Sell_In'!$H$2:$H$1000,'CRM_09_Sell_In'!$C$2:$C$1000,"CL-ALN")</x:f>
        <x:v>9</x:v>
      </x:c>
      <x:c r="C48" s="116" t="n">
        <x:f>IFERROR(B48/$B$49,0)</x:f>
        <x:v>0.09782608695652174</x:v>
      </x:c>
      <x:c r="D48" s="117" t="n">
        <x:f>SUMIFS('CRM_09_Sell_In'!$K$2:$K$1000,'CRM_09_Sell_In'!$C$2:$C$1000,"CL-ALN")</x:f>
        <x:v>14370</x:v>
      </x:c>
      <x:c r="E48" s="116" t="n">
        <x:f>IFERROR(D48/$D$49,0)</x:f>
        <x:v>0.04006624732334047</x:v>
      </x:c>
      <x:c r="F48" s="18" t="str"/>
    </x:row>
    <x:row r="49" ht="15" customHeight="1">
      <x:c r="A49" s="23" t="str">
        <x:v>TOTAL</x:v>
      </x:c>
      <x:c r="B49" s="108" t="n">
        <x:f>SUM(B44:B48)</x:f>
        <x:v>92</x:v>
      </x:c>
      <x:c r="C49" s="111" t="n">
        <x:f>SUM(C44:C48)</x:f>
        <x:v>0.9999999999999999</x:v>
      </x:c>
      <x:c r="D49" s="113" t="n">
        <x:f>SUM(D44:D48)</x:f>
        <x:v>358656</x:v>
      </x:c>
      <x:c r="E49" s="111" t="n">
        <x:f>SUM(E44:E48)</x:f>
        <x:v>1</x:v>
      </x:c>
      <x:c r="F49" s="27" t="str"/>
    </x:row>
    <x:row r="50" ht="15" customHeight="1">
      <x:c r="A50" s="6" t="str"/>
      <x:c r="B50" s="6" t="str"/>
      <x:c r="C50" s="6" t="str"/>
      <x:c r="D50" s="6" t="str"/>
      <x:c r="E50" s="6" t="str"/>
      <x:c r="F50" s="6" t="str"/>
    </x:row>
    <x:row r="51" ht="20" customHeight="1">
      <x:c r="A51" s="14" t="str">
        <x:v>🤝 Seguimiento comercial (CRM)</x:v>
      </x:c>
      <x:c r="B51" s="15" t="str"/>
      <x:c r="C51" s="15" t="str"/>
      <x:c r="D51" s="15" t="str"/>
      <x:c r="E51" s="15" t="str"/>
      <x:c r="F51" s="15" t="str"/>
    </x:row>
    <x:row r="52" ht="15" customHeight="1">
      <x:c r="A52" s="16" t="str">
        <x:v>Acciones vencidas</x:v>
      </x:c>
      <x:c r="B52" s="17" t="str">
        <x:v>Próximas 7 días</x:v>
      </x:c>
      <x:c r="C52" s="17" t="str">
        <x:v>Visitas pendientes</x:v>
      </x:c>
      <x:c r="D52" s="17" t="str">
        <x:v>Visitas atrasadas</x:v>
      </x:c>
      <x:c r="E52" s="17" t="str">
        <x:v>Visitas realizadas</x:v>
      </x:c>
      <x:c r="F52" s="17" t="str">
        <x:v>Sin contacto 30d+</x:v>
      </x:c>
    </x:row>
    <x:row r="53" ht="15" customHeight="1">
      <x:c r="A53" s="123" t="n">
        <x:f>COUNTIFS('CRM_01_Clientes'!$M$2:$M$1000,"&lt;"&amp;DATE(2026,7,9),'CRM_01_Clientes'!$M$2:$M$1000,"&lt;&gt;")</x:f>
        <x:v>0</x:v>
      </x:c>
      <x:c r="B53" s="123" t="n">
        <x:f>COUNTIFS('CRM_01_Clientes'!$M$2:$M$1000,"&gt;="&amp;DATE(2026,7,9),'CRM_01_Clientes'!$M$2:$M$1000,"&lt;="&amp;DATE(2026,7,16))</x:f>
        <x:v>7</x:v>
      </x:c>
      <x:c r="C53" s="123" t="n">
        <x:f>COUNTIF('CRM_05_Visitas'!$H$2:$H$1000,"Planificada")</x:f>
        <x:v>2</x:v>
      </x:c>
      <x:c r="D53" s="123" t="n">
        <x:f>COUNTIFS('CRM_05_Visitas'!$B$2:$B$1000,"&lt;"&amp;DATE(2026,7,9),'CRM_05_Visitas'!$H$2:$H$1000,"Planificada")</x:f>
        <x:v>2</x:v>
      </x:c>
      <x:c r="E53" s="123" t="n">
        <x:f>COUNTIF('CRM_05_Visitas'!$H$2:$H$1000,"Realizada")</x:f>
        <x:v>1</x:v>
      </x:c>
      <x:c r="F53" s="123" t="n">
        <x:f>COUNTIFS('CRM_01_Clientes'!$K$2:$K$1000,"&lt;"&amp;DATE(2026,6,9),'CRM_01_Clientes'!$K$2:$K$1000,"&lt;&gt;")</x:f>
        <x:v>7</x:v>
      </x:c>
    </x:row>
    <x:row r="54" ht="15" customHeight="1">
      <x:c r="A54" s="37" t="str">
        <x:v>Próximas acciones por cliente</x:v>
      </x:c>
      <x:c r="B54" s="6" t="str"/>
      <x:c r="C54" s="6" t="str"/>
      <x:c r="D54" s="6" t="str"/>
      <x:c r="E54" s="6" t="str"/>
      <x:c r="F54" s="6" t="str"/>
    </x:row>
    <x:row r="55" ht="15" customHeight="1">
      <x:c r="A55" s="16" t="str">
        <x:v>Cliente</x:v>
      </x:c>
      <x:c r="B55" s="17" t="str">
        <x:v>Estado</x:v>
      </x:c>
      <x:c r="C55" s="17" t="str">
        <x:v>Últ. contacto</x:v>
      </x:c>
      <x:c r="D55" s="17" t="str">
        <x:v>Próxima acción</x:v>
      </x:c>
      <x:c r="E55" s="17" t="str">
        <x:v>Fecha</x:v>
      </x:c>
      <x:c r="F55" s="17" t="str">
        <x:v>⚠ Vencida</x:v>
      </x:c>
    </x:row>
    <x:row r="56" ht="15" customHeight="1">
      <x:c r="A56" s="124" t="str">
        <x:v>Dellanatura</x:v>
      </x:c>
      <x:c r="B56" s="114" t="str">
        <x:v>Reorden</x:v>
      </x:c>
      <x:c r="C56" s="120" t="str">
        <x:v>2026-01-06</x:v>
      </x:c>
      <x:c r="D56" s="125" t="str">
        <x:v>Reponer</x:v>
      </x:c>
      <x:c r="E56" s="120" t="str">
        <x:v>2026-07-10</x:v>
      </x:c>
      <x:c r="F56" s="126" t="str"/>
    </x:row>
    <x:row r="57" ht="15" customHeight="1">
      <x:c r="A57" s="124" t="str">
        <x:v>Fork</x:v>
      </x:c>
      <x:c r="B57" s="114" t="str">
        <x:v>Aprobado piloto</x:v>
      </x:c>
      <x:c r="C57" s="120" t="str">
        <x:v>2026-01-08</x:v>
      </x:c>
      <x:c r="D57" s="125" t="str">
        <x:v>Definir surtido</x:v>
      </x:c>
      <x:c r="E57" s="120" t="str">
        <x:v>2026-07-11</x:v>
      </x:c>
      <x:c r="F57" s="126" t="str"/>
    </x:row>
    <x:row r="58" ht="15" customHeight="1">
      <x:c r="A58" s="124" t="str">
        <x:v>All Nutrition</x:v>
      </x:c>
      <x:c r="B58" s="114" t="str">
        <x:v>En seguimiento</x:v>
      </x:c>
      <x:c r="C58" s="120" t="str">
        <x:v>2026-01-07</x:v>
      </x:c>
      <x:c r="D58" s="125" t="str">
        <x:v>Seguimiento sell-out</x:v>
      </x:c>
      <x:c r="E58" s="120" t="str">
        <x:v>2026-07-12</x:v>
      </x:c>
      <x:c r="F58" s="126" t="str"/>
    </x:row>
    <x:row r="59" ht="15" customHeight="1">
      <x:c r="A59" s="124" t="str">
        <x:v>Ritz-Carlton</x:v>
      </x:c>
      <x:c r="B59" s="114" t="str">
        <x:v>En seguimiento</x:v>
      </x:c>
      <x:c r="C59" s="120" t="str">
        <x:v>2026-01-12</x:v>
      </x:c>
      <x:c r="D59" s="125" t="str">
        <x:v>Seguimiento</x:v>
      </x:c>
      <x:c r="E59" s="120" t="str">
        <x:v>2026-07-13</x:v>
      </x:c>
      <x:c r="F59" s="126" t="str"/>
    </x:row>
    <x:row r="60" ht="15" customHeight="1">
      <x:c r="A60" s="124" t="str">
        <x:v>Central Organica</x:v>
      </x:c>
      <x:c r="B60" s="114" t="str">
        <x:v>Contactado</x:v>
      </x:c>
      <x:c r="C60" s="120" t="str">
        <x:v>2026-01-05</x:v>
      </x:c>
      <x:c r="D60" s="125" t="str">
        <x:v>Primera venta</x:v>
      </x:c>
      <x:c r="E60" s="120" t="str">
        <x:v>2026-07-14</x:v>
      </x:c>
      <x:c r="F60" s="126" t="str"/>
    </x:row>
    <x:row r="61" ht="15" customHeight="1">
      <x:c r="A61" s="124" t="str">
        <x:v>Cencosud</x:v>
      </x:c>
      <x:c r="B61" s="114" t="str">
        <x:v>Negociacion</x:v>
      </x:c>
      <x:c r="C61" s="120" t="str">
        <x:v>2026-01-13</x:v>
      </x:c>
      <x:c r="D61" s="125" t="str">
        <x:v>Confirmar reunion Jumbo</x:v>
      </x:c>
      <x:c r="E61" s="120" t="str">
        <x:v>2026-07-15</x:v>
      </x:c>
      <x:c r="F61" s="126" t="str"/>
    </x:row>
    <x:row r="62" ht="15" customHeight="1">
      <x:c r="A62" s="124" t="str">
        <x:v>Pirque CDV</x:v>
      </x:c>
      <x:c r="B62" s="114" t="str">
        <x:v>Reorden</x:v>
      </x:c>
      <x:c r="C62" s="120" t="str">
        <x:v>2026-01-09</x:v>
      </x:c>
      <x:c r="D62" s="125" t="str">
        <x:v>Reponer estuches</x:v>
      </x:c>
      <x:c r="E62" s="120" t="str">
        <x:v>2026-07-16</x:v>
      </x:c>
      <x:c r="F62" s="126" t="str"/>
    </x:row>
    <x:row r="63" ht="15" customHeight="1">
      <x:c r="A63" s="37" t="str">
        <x:v>Plan de visitas</x:v>
      </x:c>
      <x:c r="B63" s="6" t="str"/>
      <x:c r="C63" s="6" t="str"/>
      <x:c r="D63" s="6" t="str"/>
      <x:c r="E63" s="6" t="str"/>
      <x:c r="F63" s="6" t="str"/>
    </x:row>
    <x:row r="64" ht="15" customHeight="1">
      <x:c r="A64" s="16" t="str">
        <x:v>Fecha</x:v>
      </x:c>
      <x:c r="B64" s="17" t="str">
        <x:v>Resp.</x:v>
      </x:c>
      <x:c r="C64" s="17" t="str">
        <x:v>Cliente</x:v>
      </x:c>
      <x:c r="D64" s="17" t="str">
        <x:v>PDV</x:v>
      </x:c>
      <x:c r="E64" s="17" t="str">
        <x:v>Motivo</x:v>
      </x:c>
      <x:c r="F64" s="17" t="str">
        <x:v>Estado</x:v>
      </x:c>
    </x:row>
    <x:row r="65" ht="15" customHeight="1">
      <x:c r="A65" s="114" t="str">
        <x:v>2026-07-07</x:v>
      </x:c>
      <x:c r="B65" s="114" t="str">
        <x:v>Ana Barra</x:v>
      </x:c>
      <x:c r="C65" s="114" t="str">
        <x:v>Dellanatura</x:v>
      </x:c>
      <x:c r="D65" s="114" t="str">
        <x:v>Dellanatura Las Condes</x:v>
      </x:c>
      <x:c r="E65" s="125" t="str">
        <x:v>Reposicion</x:v>
      </x:c>
      <x:c r="F65" s="124" t="str">
        <x:v>ATRASADA</x:v>
      </x:c>
    </x:row>
    <x:row r="66" ht="15" customHeight="1">
      <x:c r="A66" s="114" t="str">
        <x:v>2026-07-08</x:v>
      </x:c>
      <x:c r="B66" s="114" t="str">
        <x:v>Jose Ignacio</x:v>
      </x:c>
      <x:c r="C66" s="114" t="str">
        <x:v>Ritz-Carlton</x:v>
      </x:c>
      <x:c r="D66" s="114" t="str">
        <x:v>Ritz-Carlton Santiago</x:v>
      </x:c>
      <x:c r="E66" s="125" t="str">
        <x:v>Seguimiento</x:v>
      </x:c>
      <x:c r="F66" s="124" t="str">
        <x:v>ATRASADA</x:v>
      </x:c>
    </x:row>
    <x:row r="67" ht="15" customHeight="1">
      <x:c r="A67" s="114" t="str">
        <x:v>2026-07-09</x:v>
      </x:c>
      <x:c r="B67" s="114" t="str">
        <x:v>Jose Ignacio</x:v>
      </x:c>
      <x:c r="C67" s="114" t="str">
        <x:v>Cencosud</x:v>
      </x:c>
      <x:c r="D67" s="114" t="str">
        <x:v>Jumbo Parque Arauco</x:v>
      </x:c>
      <x:c r="E67" s="125" t="str">
        <x:v>Retail</x:v>
      </x:c>
      <x:c r="F67" s="124" t="str">
        <x:v>Realizada</x:v>
      </x:c>
    </x:row>
    <x:row r="68" ht="15" customHeight="1">
      <x:c r="A68" s="6" t="str"/>
      <x:c r="B68" s="6" t="str"/>
      <x:c r="C68" s="6" t="str"/>
      <x:c r="D68" s="6" t="str"/>
      <x:c r="E68" s="6" t="str"/>
      <x:c r="F68" s="6" t="str"/>
    </x:row>
    <x:row r="69" ht="20" customHeight="1">
      <x:c r="A69" s="14" t="str">
        <x:v>📈 Crecimiento por período (montos de ejemplo)</x:v>
      </x:c>
      <x:c r="B69" s="15" t="str"/>
      <x:c r="C69" s="15" t="str"/>
      <x:c r="D69" s="15" t="str"/>
      <x:c r="E69" s="15" t="str"/>
      <x:c r="F69" s="15" t="str"/>
    </x:row>
    <x:row r="70" ht="15" customHeight="1">
      <x:c r="A70" s="16" t="str">
        <x:v>Período</x:v>
      </x:c>
      <x:c r="B70" s="17" t="str">
        <x:v>Uds</x:v>
      </x:c>
      <x:c r="C70" s="17" t="str">
        <x:v>Venta</x:v>
      </x:c>
      <x:c r="D70" s="17" t="str">
        <x:v>Var. $</x:v>
      </x:c>
      <x:c r="E70" s="17" t="str"/>
      <x:c r="F70" s="17" t="str"/>
    </x:row>
    <x:row r="71" ht="15" customHeight="1">
      <x:c r="A71" s="114" t="str">
        <x:v>Oct 2025</x:v>
      </x:c>
      <x:c r="B71" s="120">
        <x:v>180</x:v>
      </x:c>
      <x:c r="C71" s="121">
        <x:v>295000</x:v>
      </x:c>
      <x:c r="D71" s="120" t="str">
        <x:v>—</x:v>
      </x:c>
      <x:c r="E71" s="18" t="str"/>
      <x:c r="F71" s="18" t="str"/>
    </x:row>
    <x:row r="72" ht="15" customHeight="1">
      <x:c r="A72" s="114" t="str">
        <x:v>Nov 2025</x:v>
      </x:c>
      <x:c r="B72" s="120">
        <x:v>240</x:v>
      </x:c>
      <x:c r="C72" s="121">
        <x:v>392000</x:v>
      </x:c>
      <x:c r="D72" s="127">
        <x:v>0.3288135593220339</x:v>
      </x:c>
      <x:c r="E72" s="18" t="str"/>
      <x:c r="F72" s="18" t="str"/>
    </x:row>
    <x:row r="73" ht="15" customHeight="1">
      <x:c r="A73" s="114" t="str">
        <x:v>Dic 2025</x:v>
      </x:c>
      <x:c r="B73" s="120">
        <x:v>320</x:v>
      </x:c>
      <x:c r="C73" s="121">
        <x:v>523000</x:v>
      </x:c>
      <x:c r="D73" s="127">
        <x:v>0.33418367346938777</x:v>
      </x:c>
      <x:c r="E73" s="18" t="str"/>
      <x:c r="F73" s="18" t="str"/>
    </x:row>
    <x:row r="74" ht="15" customHeight="1">
      <x:c r="A74" s="114" t="str">
        <x:v>Ene 2026</x:v>
      </x:c>
      <x:c r="B74" s="120">
        <x:v>410</x:v>
      </x:c>
      <x:c r="C74" s="121">
        <x:v>671000</x:v>
      </x:c>
      <x:c r="D74" s="127">
        <x:v>0.2829827915869981</x:v>
      </x:c>
      <x:c r="E74" s="18" t="str"/>
      <x:c r="F74" s="18" t="str"/>
    </x:row>
  </x:sheetData>
  <x:mergeCells>
    <x:mergeCell ref="A1:F1"/>
    <x:mergeCell ref="A2:F2"/>
    <x:mergeCell ref="A8:F8"/>
    <x:mergeCell ref="A18:F18"/>
    <x:mergeCell ref="A19:F19"/>
    <x:mergeCell ref="A20:F20"/>
    <x:mergeCell ref="A21:F21"/>
    <x:mergeCell ref="A22:F22"/>
    <x:mergeCell ref="A23:F23"/>
    <x:mergeCell ref="A25:F25"/>
    <x:mergeCell ref="A33:F33"/>
    <x:mergeCell ref="A42:F42"/>
    <x:mergeCell ref="A51:F51"/>
    <x:mergeCell ref="A69:F6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6.75" hidden="0" customWidth="1"/>
  </x:cols>
  <x:sheetData>
    <x:row r="1">
      <x:c r="A1" s="50" t="str">
        <x:v>CONSOLIDADO COMERCIAL - NUVA OXI</x:v>
      </x:c>
    </x:row>
    <x:row r="2">
      <x:c r="A2" s="47" t="str">
        <x:v>Solo lectura. Se alimenta por Power Query desde CRM_NUVA_OXI.xlsx y BD_SELL_OUT_NUVA.xlsx. Actualizar: Datos &gt; Actualizar todo.</x:v>
      </x:c>
    </x:row>
  </x:sheetData>
  <x:pageMargins left="0.7" right="0.7" top="0.75" bottom="0.75" header="0.3" footer="0.3"/>
  <x:tableParts count="1">
    <x:tablePart xmlns:r="http://schemas.openxmlformats.org/officeDocument/2006/relationships" r:id="R1b41ec0a326e4b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9.25" hidden="0" customWidth="1"/>
    <x:col min="3" max="3" width="11.380000114440918" hidden="0" customWidth="1"/>
    <x:col min="4" max="4" width="12.5" hidden="0" customWidth="1"/>
  </x:cols>
  <x:sheetData>
    <x:row r="1">
      <x:c r="A1" s="65" t="str">
        <x:v>ID_PDV</x:v>
      </x:c>
      <x:c r="B1" s="66" t="str">
        <x:v>SKU</x:v>
      </x:c>
      <x:c r="C1" s="66" t="str">
        <x:v>Uds_Vendidas</x:v>
      </x:c>
      <x:c r="D1" s="67" t="str">
        <x:v>Fuente</x:v>
      </x:c>
    </x:row>
    <x:row r="2">
      <x:c r="A2" s="54" t="str">
        <x:v>D001</x:v>
      </x:c>
      <x:c r="B2" s="45" t="str">
        <x:v>SKU-CAC-U</x:v>
      </x:c>
      <x:c r="C2" s="68" t="n">
        <x:v>10</x:v>
      </x:c>
      <x:c r="D2" s="55" t="str">
        <x:v>Reporte Cliente</x:v>
      </x:c>
    </x:row>
    <x:row r="3">
      <x:c r="A3" s="54" t="str">
        <x:v>D002</x:v>
      </x:c>
      <x:c r="B3" s="45" t="str">
        <x:v>SKU-MAN-U</x:v>
      </x:c>
      <x:c r="C3" s="68" t="n">
        <x:v>6</x:v>
      </x:c>
      <x:c r="D3" s="55" t="str">
        <x:v>Reporte Cliente</x:v>
      </x:c>
    </x:row>
    <x:row r="4">
      <x:c r="A4" s="54" t="str">
        <x:v>P001</x:v>
      </x:c>
      <x:c r="B4" s="45" t="str">
        <x:v>SKU-CAC-4</x:v>
      </x:c>
      <x:c r="C4" s="68" t="n">
        <x:v>4</x:v>
      </x:c>
      <x:c r="D4" s="55" t="str">
        <x:v>Conteo Visita</x:v>
      </x:c>
    </x:row>
    <x:row r="5">
      <x:c r="A5" s="54" t="str">
        <x:v>H001</x:v>
      </x:c>
      <x:c r="B5" s="45" t="str">
        <x:v>SKU-MAN-4</x:v>
      </x:c>
      <x:c r="C5" s="68" t="n">
        <x:v>8</x:v>
      </x:c>
      <x:c r="D5" s="55" t="str">
        <x:v>Reporte Cliente</x:v>
      </x:c>
    </x:row>
    <x:row r="6">
      <x:c r="A6" s="54" t="str">
        <x:v>J001</x:v>
      </x:c>
      <x:c r="B6" s="45" t="str">
        <x:v>SKU-FRU-4</x:v>
      </x:c>
      <x:c r="C6" s="68" t="n">
        <x:v>5</x:v>
      </x:c>
      <x:c r="D6" s="55" t="str">
        <x:v>Portal Cencosud</x:v>
      </x:c>
    </x:row>
    <x:row r="7">
      <x:c r="A7" s="56" t="str">
        <x:v>AN01</x:v>
      </x:c>
      <x:c r="B7" s="57" t="str">
        <x:v>SKU-FRU-U</x:v>
      </x:c>
      <x:c r="C7" s="69" t="n">
        <x:v>7</x:v>
      </x:c>
      <x:c r="D7" s="58" t="str">
        <x:v>Conteo Visita</x:v>
      </x:c>
    </x:row>
  </x:sheetData>
  <x:pageMargins left="0.7" right="0.7" top="0.75" bottom="0.75" header="0.3" footer="0.3"/>
  <x:tableParts count="1">
    <x:tablePart xmlns:r="http://schemas.openxmlformats.org/officeDocument/2006/relationships" r:id="R527143cb7b7c45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5" hidden="0" customWidth="1"/>
    <x:col min="2" max="2" width="6.130000114440918" hidden="0" customWidth="1"/>
    <x:col min="3" max="3" width="9.25" hidden="0" customWidth="1"/>
    <x:col min="4" max="4" width="3.5" hidden="0" customWidth="1"/>
    <x:col min="5" max="5" width="9.380000114440918" hidden="0" customWidth="1"/>
    <x:col min="6" max="6" width="6.130000114440918" hidden="0" customWidth="1"/>
    <x:col min="7" max="7" width="12.380000114440918" hidden="0" customWidth="1"/>
    <x:col min="8" max="8" width="9.75" hidden="0" customWidth="1"/>
  </x:cols>
  <x:sheetData>
    <x:row r="1">
      <x:c r="A1" s="65" t="str">
        <x:v>ID_Cliente</x:v>
      </x:c>
      <x:c r="B1" s="66" t="str">
        <x:v>ID_PDV</x:v>
      </x:c>
      <x:c r="C1" s="66" t="str">
        <x:v>SKU</x:v>
      </x:c>
      <x:c r="D1" s="66" t="str">
        <x:v>Uds</x:v>
      </x:c>
      <x:c r="E1" s="66" t="str">
        <x:v>Venta_Neta</x:v>
      </x:c>
      <x:c r="F1" s="66" t="str">
        <x:v>Margen</x:v>
      </x:c>
      <x:c r="G1" s="66" t="str">
        <x:v>Estado_Factura</x:v>
      </x:c>
      <x:c r="H1" s="67" t="str">
        <x:v>Fecha_Venc</x:v>
      </x:c>
    </x:row>
    <x:row r="2">
      <x:c r="A2" s="54" t="str">
        <x:v>CL-DEL</x:v>
      </x:c>
      <x:c r="B2" s="45" t="str">
        <x:v>D001</x:v>
      </x:c>
      <x:c r="C2" s="45" t="str">
        <x:v>SKU-CAC-U</x:v>
      </x:c>
      <x:c r="D2" s="68" t="n">
        <x:v>12</x:v>
      </x:c>
      <x:c r="E2" s="70" t="n">
        <x:v>19160</x:v>
      </x:c>
      <x:c r="F2" s="70" t="n">
        <x:v>16160</x:v>
      </x:c>
      <x:c r="G2" s="72" t="str">
        <x:v>Pagada</x:v>
      </x:c>
      <x:c r="H2" s="74" t="n">
        <x:v>46057</x:v>
      </x:c>
    </x:row>
    <x:row r="3">
      <x:c r="A3" s="54" t="str">
        <x:v>CL-DEL</x:v>
      </x:c>
      <x:c r="B3" s="45" t="str">
        <x:v>D002</x:v>
      </x:c>
      <x:c r="C3" s="45" t="str">
        <x:v>SKU-MAN-U</x:v>
      </x:c>
      <x:c r="D3" s="68" t="n">
        <x:v>8</x:v>
      </x:c>
      <x:c r="E3" s="70" t="n">
        <x:v>12773</x:v>
      </x:c>
      <x:c r="F3" s="70" t="n">
        <x:v>10773</x:v>
      </x:c>
      <x:c r="G3" s="72" t="str">
        <x:v>Pagada</x:v>
      </x:c>
      <x:c r="H3" s="74" t="n">
        <x:v>46058</x:v>
      </x:c>
    </x:row>
    <x:row r="4">
      <x:c r="A4" s="54" t="str">
        <x:v>CL-ALN</x:v>
      </x:c>
      <x:c r="B4" s="45" t="str">
        <x:v>AN01</x:v>
      </x:c>
      <x:c r="C4" s="45" t="str">
        <x:v>SKU-FRU-U</x:v>
      </x:c>
      <x:c r="D4" s="68" t="n">
        <x:v>9</x:v>
      </x:c>
      <x:c r="E4" s="70" t="n">
        <x:v>14370</x:v>
      </x:c>
      <x:c r="F4" s="70" t="n">
        <x:v>12120</x:v>
      </x:c>
      <x:c r="G4" s="72" t="str">
        <x:v>Emitida</x:v>
      </x:c>
      <x:c r="H4" s="74" t="n">
        <x:v>46059</x:v>
      </x:c>
    </x:row>
    <x:row r="5">
      <x:c r="A5" s="54" t="str">
        <x:v>CL-PIR</x:v>
      </x:c>
      <x:c r="B5" s="45" t="str">
        <x:v>P001</x:v>
      </x:c>
      <x:c r="C5" s="45" t="str">
        <x:v>SKU-CAC-4</x:v>
      </x:c>
      <x:c r="D5" s="68" t="n">
        <x:v>5</x:v>
      </x:c>
      <x:c r="E5" s="70" t="n">
        <x:v>24790</x:v>
      </x:c>
      <x:c r="F5" s="70" t="n">
        <x:v>19790</x:v>
      </x:c>
      <x:c r="G5" s="72" t="str">
        <x:v>Pagada</x:v>
      </x:c>
      <x:c r="H5" s="74" t="n">
        <x:v>46061</x:v>
      </x:c>
    </x:row>
    <x:row r="6">
      <x:c r="A6" s="54" t="str">
        <x:v>CL-RITZ</x:v>
      </x:c>
      <x:c r="B6" s="45" t="str">
        <x:v>H001</x:v>
      </x:c>
      <x:c r="C6" s="45" t="str">
        <x:v>SKU-MAN-4</x:v>
      </x:c>
      <x:c r="D6" s="68" t="n">
        <x:v>8</x:v>
      </x:c>
      <x:c r="E6" s="70" t="n">
        <x:v>39664</x:v>
      </x:c>
      <x:c r="F6" s="70" t="n">
        <x:v>31664</x:v>
      </x:c>
      <x:c r="G6" s="72" t="str">
        <x:v>Emitida</x:v>
      </x:c>
      <x:c r="H6" s="74" t="n">
        <x:v>46064</x:v>
      </x:c>
    </x:row>
    <x:row r="7">
      <x:c r="A7" s="56" t="str">
        <x:v>CL-CEN</x:v>
      </x:c>
      <x:c r="B7" s="57" t="str">
        <x:v>J001</x:v>
      </x:c>
      <x:c r="C7" s="57" t="str">
        <x:v>SKU-FRU-4</x:v>
      </x:c>
      <x:c r="D7" s="69" t="n">
        <x:v>50</x:v>
      </x:c>
      <x:c r="E7" s="71" t="n">
        <x:v>247899</x:v>
      </x:c>
      <x:c r="F7" s="71" t="n">
        <x:v>197899</x:v>
      </x:c>
      <x:c r="G7" s="73" t="str">
        <x:v>Emitida</x:v>
      </x:c>
      <x:c r="H7" s="75" t="n">
        <x:v>46065</x:v>
      </x:c>
    </x:row>
  </x:sheetData>
  <x:pageMargins left="0.7" right="0.7" top="0.75" bottom="0.75" header="0.3" footer="0.3"/>
  <x:tableParts count="1">
    <x:tablePart xmlns:r="http://schemas.openxmlformats.org/officeDocument/2006/relationships" r:id="Ra840bb88cd7e4d2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.25" hidden="0" customWidth="1"/>
    <x:col min="2" max="2" width="9" hidden="0" customWidth="1"/>
    <x:col min="3" max="3" width="10.380000114440918" hidden="0" customWidth="1"/>
    <x:col min="4" max="4" width="10" hidden="0" customWidth="1"/>
    <x:col min="5" max="5" width="10.630000114440918" hidden="0" customWidth="1"/>
    <x:col min="6" max="6" width="14.880000114440918" hidden="0" customWidth="1"/>
  </x:cols>
  <x:sheetData>
    <x:row r="1">
      <x:c r="A1" s="65" t="str">
        <x:v>SELL-IN vs SELL-OUT vs ROTACION (por PDV)</x:v>
      </x:c>
      <x:c r="B1" s="66"/>
      <x:c r="C1" s="66"/>
      <x:c r="D1" s="66"/>
      <x:c r="E1" s="66"/>
      <x:c r="F1" s="67"/>
    </x:row>
    <x:row r="2">
      <x:c r="A2" s="76"/>
      <x:c r="B2" s="45"/>
      <x:c r="C2" s="45"/>
      <x:c r="D2" s="45"/>
      <x:c r="E2" s="45"/>
      <x:c r="F2" s="55"/>
    </x:row>
    <x:row r="3">
      <x:c r="A3" s="76" t="str">
        <x:v>ID_PDV</x:v>
      </x:c>
      <x:c r="B3" s="45" t="str">
        <x:v>Sell_In_Uds</x:v>
      </x:c>
      <x:c r="C3" s="45" t="str">
        <x:v>Sell_Out_Uds</x:v>
      </x:c>
      <x:c r="D3" s="45" t="str">
        <x:v>Rotacion_%</x:v>
      </x:c>
      <x:c r="E3" s="45" t="str">
        <x:v>Venta_Neta_$</x:v>
      </x:c>
      <x:c r="F3" s="55" t="str">
        <x:v>Proxy_Stock_Tienda</x:v>
      </x:c>
    </x:row>
    <x:row r="4">
      <x:c r="A4" s="76" t="str">
        <x:v>D001</x:v>
      </x:c>
      <x:c r="B4" s="45" t="n">
        <x:v>12</x:v>
      </x:c>
      <x:c r="C4" s="45" t="n">
        <x:v>10</x:v>
      </x:c>
      <x:c r="D4" s="45" t="n">
        <x:v>0.8333333333333334</x:v>
      </x:c>
      <x:c r="E4" s="45" t="n">
        <x:v>19160</x:v>
      </x:c>
      <x:c r="F4" s="55" t="n">
        <x:v>2</x:v>
      </x:c>
    </x:row>
    <x:row r="5">
      <x:c r="A5" s="76" t="str">
        <x:v>D002</x:v>
      </x:c>
      <x:c r="B5" s="45" t="n">
        <x:v>8</x:v>
      </x:c>
      <x:c r="C5" s="45" t="n">
        <x:v>6</x:v>
      </x:c>
      <x:c r="D5" s="45" t="n">
        <x:v>0.75</x:v>
      </x:c>
      <x:c r="E5" s="45" t="n">
        <x:v>12773</x:v>
      </x:c>
      <x:c r="F5" s="55" t="n">
        <x:v>2</x:v>
      </x:c>
    </x:row>
    <x:row r="6">
      <x:c r="A6" s="76" t="str">
        <x:v>AN01</x:v>
      </x:c>
      <x:c r="B6" s="45" t="n">
        <x:v>9</x:v>
      </x:c>
      <x:c r="C6" s="45" t="n">
        <x:v>7</x:v>
      </x:c>
      <x:c r="D6" s="45" t="n">
        <x:v>0.7777777777777778</x:v>
      </x:c>
      <x:c r="E6" s="45" t="n">
        <x:v>14370</x:v>
      </x:c>
      <x:c r="F6" s="55" t="n">
        <x:v>2</x:v>
      </x:c>
    </x:row>
    <x:row r="7">
      <x:c r="A7" s="76" t="str">
        <x:v>CO01</x:v>
      </x:c>
      <x:c r="B7" s="45" t="n">
        <x:v>0</x:v>
      </x:c>
      <x:c r="C7" s="45" t="n">
        <x:v>0</x:v>
      </x:c>
      <x:c r="D7" s="45" t="n">
        <x:v>0</x:v>
      </x:c>
      <x:c r="E7" s="45" t="n">
        <x:v>0</x:v>
      </x:c>
      <x:c r="F7" s="55" t="n">
        <x:v>0</x:v>
      </x:c>
    </x:row>
    <x:row r="8">
      <x:c r="A8" s="76" t="str">
        <x:v>P001</x:v>
      </x:c>
      <x:c r="B8" s="45" t="n">
        <x:v>5</x:v>
      </x:c>
      <x:c r="C8" s="45" t="n">
        <x:v>4</x:v>
      </x:c>
      <x:c r="D8" s="45" t="n">
        <x:v>0.8</x:v>
      </x:c>
      <x:c r="E8" s="45" t="n">
        <x:v>24790</x:v>
      </x:c>
      <x:c r="F8" s="55" t="n">
        <x:v>1</x:v>
      </x:c>
    </x:row>
    <x:row r="9">
      <x:c r="A9" s="76" t="str">
        <x:v>H001</x:v>
      </x:c>
      <x:c r="B9" s="45" t="n">
        <x:v>8</x:v>
      </x:c>
      <x:c r="C9" s="45" t="n">
        <x:v>8</x:v>
      </x:c>
      <x:c r="D9" s="45" t="n">
        <x:v>1</x:v>
      </x:c>
      <x:c r="E9" s="45" t="n">
        <x:v>39664</x:v>
      </x:c>
      <x:c r="F9" s="55" t="n">
        <x:v>0</x:v>
      </x:c>
    </x:row>
    <x:row r="10">
      <x:c r="A10" s="76" t="str">
        <x:v>J001</x:v>
      </x:c>
      <x:c r="B10" s="45" t="n">
        <x:v>50</x:v>
      </x:c>
      <x:c r="C10" s="45" t="n">
        <x:v>5</x:v>
      </x:c>
      <x:c r="D10" s="45" t="n">
        <x:v>0.1</x:v>
      </x:c>
      <x:c r="E10" s="45" t="n">
        <x:v>247899</x:v>
      </x:c>
      <x:c r="F10" s="55" t="n">
        <x:v>45</x:v>
      </x:c>
    </x:row>
    <x:row r="11">
      <x:c r="A11" s="76" t="str">
        <x:v>F001</x:v>
      </x:c>
      <x:c r="B11" s="45" t="n">
        <x:v>0</x:v>
      </x:c>
      <x:c r="C11" s="45" t="n">
        <x:v>0</x:v>
      </x:c>
      <x:c r="D11" s="45" t="n">
        <x:v>0</x:v>
      </x:c>
      <x:c r="E11" s="45" t="n">
        <x:v>0</x:v>
      </x:c>
      <x:c r="F11" s="55" t="n">
        <x:v>0</x:v>
      </x:c>
    </x:row>
    <x:row r="12">
      <x:c r="A12" s="76" t="str">
        <x:v>TOTAL</x:v>
      </x:c>
      <x:c r="B12" s="45" t="n">
        <x:v>92</x:v>
      </x:c>
      <x:c r="C12" s="45" t="n">
        <x:v>40</x:v>
      </x:c>
      <x:c r="D12" s="45"/>
      <x:c r="E12" s="45" t="n">
        <x:v>358656</x:v>
      </x:c>
      <x:c r="F12" s="55"/>
    </x:row>
    <x:row r="13">
      <x:c r="A13" s="76"/>
      <x:c r="B13" s="45"/>
      <x:c r="C13" s="45"/>
      <x:c r="D13" s="45"/>
      <x:c r="E13" s="45"/>
      <x:c r="F13" s="55"/>
    </x:row>
    <x:row r="14">
      <x:c r="A14" s="76" t="str">
        <x:v>CxC AGING (facturas Emitidas)</x:v>
      </x:c>
      <x:c r="B14" s="45"/>
      <x:c r="C14" s="45"/>
      <x:c r="D14" s="45"/>
      <x:c r="E14" s="45"/>
      <x:c r="F14" s="55"/>
    </x:row>
    <x:row r="15">
      <x:c r="A15" s="76" t="str">
        <x:v>Tramo</x:v>
      </x:c>
      <x:c r="B15" s="45" t="str">
        <x:v>Monto $</x:v>
      </x:c>
      <x:c r="C15" s="45"/>
      <x:c r="D15" s="45"/>
      <x:c r="E15" s="45"/>
      <x:c r="F15" s="55"/>
    </x:row>
    <x:row r="16">
      <x:c r="A16" s="76" t="str">
        <x:v>Por vencer (&lt;=30d)</x:v>
      </x:c>
      <x:c r="B16" s="45" t="n">
        <x:v>0</x:v>
      </x:c>
      <x:c r="C16" s="45"/>
      <x:c r="D16" s="45"/>
      <x:c r="E16" s="45"/>
      <x:c r="F16" s="55"/>
    </x:row>
    <x:row r="17">
      <x:c r="A17" s="76" t="str">
        <x:v>Vencida 1-30d</x:v>
      </x:c>
      <x:c r="B17" s="45" t="n">
        <x:v>0</x:v>
      </x:c>
      <x:c r="C17" s="45"/>
      <x:c r="D17" s="45"/>
      <x:c r="E17" s="45"/>
      <x:c r="F17" s="55"/>
    </x:row>
    <x:row r="18">
      <x:c r="A18" s="77" t="str">
        <x:v>Vencida +30d</x:v>
      </x:c>
      <x:c r="B18" s="57" t="n">
        <x:v>301933</x:v>
      </x:c>
      <x:c r="C18" s="57"/>
      <x:c r="D18" s="57"/>
      <x:c r="E18" s="57"/>
      <x:c r="F18" s="5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9.25" hidden="0" customWidth="1"/>
    <x:col min="2" max="2" width="10" hidden="0" customWidth="1"/>
  </x:cols>
  <x:sheetData>
    <x:row r="1">
      <x:c r="A1" s="65" t="str">
        <x:v>ESTADO DE RESULTADOS - Piloto Ago-Oct 2026 (NUVA OXI)</x:v>
      </x:c>
      <x:c r="B1" s="67"/>
    </x:row>
    <x:row r="2">
      <x:c r="A2" s="78" t="str">
        <x:v>Alimentado por el sell-in del CRM (Datos &gt; Actualizar todo). Gastos = supuestos editables (azul).</x:v>
      </x:c>
      <x:c r="B2" s="55"/>
    </x:row>
    <x:row r="3">
      <x:c r="A3" s="78"/>
      <x:c r="B3" s="55"/>
    </x:row>
    <x:row r="4">
      <x:c r="A4" s="78" t="str">
        <x:v>Ingresos por ventas (neto)</x:v>
      </x:c>
      <x:c r="B4" s="55" t="n">
        <x:v>358656</x:v>
      </x:c>
    </x:row>
    <x:row r="5">
      <x:c r="A5" s="78" t="str">
        <x:v>(-) Costo de ventas</x:v>
      </x:c>
      <x:c r="B5" s="55" t="n">
        <x:v>-70250</x:v>
      </x:c>
    </x:row>
    <x:row r="6">
      <x:c r="A6" s="78" t="str">
        <x:v>Margen bruto</x:v>
      </x:c>
      <x:c r="B6" s="55" t="n">
        <x:v>288406</x:v>
      </x:c>
    </x:row>
    <x:row r="7">
      <x:c r="A7" s="78" t="str">
        <x:v>   % Margen bruto</x:v>
      </x:c>
      <x:c r="B7" s="55" t="n">
        <x:v>0.8041298625981442</x:v>
      </x:c>
    </x:row>
    <x:row r="8">
      <x:c r="A8" s="78"/>
      <x:c r="B8" s="55"/>
    </x:row>
    <x:row r="9">
      <x:c r="A9" s="78" t="str">
        <x:v>Gastos operativos</x:v>
      </x:c>
      <x:c r="B9" s="55"/>
    </x:row>
    <x:row r="10">
      <x:c r="A10" s="78" t="str">
        <x:v>(-) Marketing / POP</x:v>
      </x:c>
      <x:c r="B10" s="55" t="n">
        <x:v>-120000</x:v>
      </x:c>
    </x:row>
    <x:row r="11">
      <x:c r="A11" s="78" t="str">
        <x:v>(-) Logistica / despacho</x:v>
      </x:c>
      <x:c r="B11" s="55" t="n">
        <x:v>-45000</x:v>
      </x:c>
    </x:row>
    <x:row r="12">
      <x:c r="A12" s="78" t="str">
        <x:v>(-) Comercial / ruta</x:v>
      </x:c>
      <x:c r="B12" s="55" t="n">
        <x:v>-80000</x:v>
      </x:c>
    </x:row>
    <x:row r="13">
      <x:c r="A13" s="78" t="str">
        <x:v>(-) Administracion</x:v>
      </x:c>
      <x:c r="B13" s="55" t="n">
        <x:v>-30000</x:v>
      </x:c>
    </x:row>
    <x:row r="14">
      <x:c r="A14" s="78" t="str">
        <x:v>Total gastos operativos</x:v>
      </x:c>
      <x:c r="B14" s="55" t="n">
        <x:v>-275000</x:v>
      </x:c>
    </x:row>
    <x:row r="15">
      <x:c r="A15" s="78"/>
      <x:c r="B15" s="55"/>
    </x:row>
    <x:row r="16">
      <x:c r="A16" s="78" t="str">
        <x:v>Resultado operativo</x:v>
      </x:c>
      <x:c r="B16" s="55" t="n">
        <x:v>13406</x:v>
      </x:c>
    </x:row>
    <x:row r="17">
      <x:c r="A17" s="79" t="str">
        <x:v>   % sobre ventas</x:v>
      </x:c>
      <x:c r="B17" s="58" t="n">
        <x:v>0.03737843504639543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.1299991607666" hidden="0" customWidth="1"/>
    <x:col min="2" max="2" width="6.5" hidden="0" customWidth="1"/>
  </x:cols>
  <x:sheetData>
    <x:row r="1">
      <x:c r="A1" s="65" t="str">
        <x:v>BALANCE SIMPLIFICADO (NUVA OXI)</x:v>
      </x:c>
      <x:c r="B1" s="67"/>
    </x:row>
    <x:row r="2">
      <x:c r="A2" s="54"/>
      <x:c r="B2" s="55"/>
    </x:row>
    <x:row r="3">
      <x:c r="A3" s="54" t="str">
        <x:v>ACTIVOS</x:v>
      </x:c>
      <x:c r="B3" s="55"/>
    </x:row>
    <x:row r="4">
      <x:c r="A4" s="54" t="str">
        <x:v>Caja (flujo cobrado)</x:v>
      </x:c>
      <x:c r="B4" s="55" t="n">
        <x:v>-288527</x:v>
      </x:c>
    </x:row>
    <x:row r="5">
      <x:c r="A5" s="54" t="str">
        <x:v>Cuentas por cobrar (CxC)</x:v>
      </x:c>
      <x:c r="B5" s="55" t="n">
        <x:v>301933</x:v>
      </x:c>
    </x:row>
    <x:row r="6">
      <x:c r="A6" s="54" t="str">
        <x:v>Inventario valorizado (supuesto)</x:v>
      </x:c>
      <x:c r="B6" s="55" t="n">
        <x:v>150000</x:v>
      </x:c>
    </x:row>
    <x:row r="7">
      <x:c r="A7" s="54" t="str">
        <x:v>Total activos</x:v>
      </x:c>
      <x:c r="B7" s="55" t="n">
        <x:v>163406</x:v>
      </x:c>
    </x:row>
    <x:row r="8">
      <x:c r="A8" s="54"/>
      <x:c r="B8" s="55"/>
    </x:row>
    <x:row r="9">
      <x:c r="A9" s="54" t="str">
        <x:v>PASIVOS + PATRIMONIO</x:v>
      </x:c>
      <x:c r="B9" s="55"/>
    </x:row>
    <x:row r="10">
      <x:c r="A10" s="54" t="str">
        <x:v>Proveedores por pagar (supuesto)</x:v>
      </x:c>
      <x:c r="B10" s="55" t="n">
        <x:v>60000</x:v>
      </x:c>
    </x:row>
    <x:row r="11">
      <x:c r="A11" s="54" t="str">
        <x:v>Patrimonio / resultado acumulado</x:v>
      </x:c>
      <x:c r="B11" s="55" t="n">
        <x:v>103406</x:v>
      </x:c>
    </x:row>
    <x:row r="12">
      <x:c r="A12" s="56" t="str">
        <x:v>Total pasivos + patrimonio</x:v>
      </x:c>
      <x:c r="B12" s="58" t="n">
        <x:v>163406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3.75" hidden="0" customWidth="1"/>
    <x:col min="2" max="2" width="6.5" hidden="0" customWidth="1"/>
  </x:cols>
  <x:sheetData>
    <x:row r="1">
      <x:c r="A1" s="65" t="str">
        <x:v>FLUJO DE CAJA - Piloto (NUVA OXI)</x:v>
      </x:c>
      <x:c r="B1" s="67"/>
    </x:row>
    <x:row r="2">
      <x:c r="A2" s="80"/>
      <x:c r="B2" s="55"/>
    </x:row>
    <x:row r="3">
      <x:c r="A3" s="80"/>
      <x:c r="B3" s="55"/>
    </x:row>
    <x:row r="4">
      <x:c r="A4" s="80" t="str">
        <x:v>Cobros (facturas Pagadas)</x:v>
      </x:c>
      <x:c r="B4" s="55" t="n">
        <x:v>56723</x:v>
      </x:c>
    </x:row>
    <x:row r="5">
      <x:c r="A5" s="80" t="str">
        <x:v>(+) CxC por cobrar (Emitidas)</x:v>
      </x:c>
      <x:c r="B5" s="55" t="n">
        <x:v>301933</x:v>
      </x:c>
    </x:row>
    <x:row r="6">
      <x:c r="A6" s="80" t="str">
        <x:v>(-) Pago costo de ventas</x:v>
      </x:c>
      <x:c r="B6" s="55" t="n">
        <x:v>-70250</x:v>
      </x:c>
    </x:row>
    <x:row r="7">
      <x:c r="A7" s="80" t="str">
        <x:v>(-) Pago gastos operativos</x:v>
      </x:c>
      <x:c r="B7" s="55" t="n">
        <x:v>-275000</x:v>
      </x:c>
    </x:row>
    <x:row r="8">
      <x:c r="A8" s="80" t="str">
        <x:v>Resultado operativo</x:v>
      </x:c>
      <x:c r="B8" s="55" t="n">
        <x:v>13406</x:v>
      </x:c>
    </x:row>
    <x:row r="9">
      <x:c r="A9" s="80" t="str">
        <x:v>Caja neta estimada</x:v>
      </x:c>
      <x:c r="B9" s="55" t="n">
        <x:v>-288527</x:v>
      </x:c>
    </x:row>
    <x:row r="10">
      <x:c r="A10" s="80"/>
      <x:c r="B10" s="55"/>
    </x:row>
    <x:row r="11">
      <x:c r="A11" s="81" t="str">
        <x:v>Nota: Jumbo paga a 30 dias; HoReCa contado. CxC Emitida = caja en riesgo hasta cobro.</x:v>
      </x:c>
      <x:c r="B11" s="5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9.5" hidden="0" customWidth="1"/>
    <x:col min="3" max="3" width="6.130000114440918" hidden="0" customWidth="1"/>
    <x:col min="4" max="4" width="12.380000114440918" hidden="0" customWidth="1"/>
  </x:cols>
  <x:sheetData>
    <x:row r="1">
      <x:c r="A1" s="65" t="str">
        <x:v>Venta_Neta</x:v>
      </x:c>
      <x:c r="B1" s="66" t="str">
        <x:v>Costo_Total</x:v>
      </x:c>
      <x:c r="C1" s="66" t="str">
        <x:v>Margen</x:v>
      </x:c>
      <x:c r="D1" s="67" t="str">
        <x:v>Estado_Factura</x:v>
      </x:c>
    </x:row>
    <x:row r="2">
      <x:c r="A2" s="80" t="n">
        <x:v>19160</x:v>
      </x:c>
      <x:c r="B2" s="70" t="n">
        <x:v>3000</x:v>
      </x:c>
      <x:c r="C2" s="70" t="n">
        <x:v>16160</x:v>
      </x:c>
      <x:c r="D2" s="74" t="str">
        <x:v>Pagada</x:v>
      </x:c>
    </x:row>
    <x:row r="3">
      <x:c r="A3" s="80" t="n">
        <x:v>12773</x:v>
      </x:c>
      <x:c r="B3" s="70" t="n">
        <x:v>2000</x:v>
      </x:c>
      <x:c r="C3" s="70" t="n">
        <x:v>10773</x:v>
      </x:c>
      <x:c r="D3" s="74" t="str">
        <x:v>Pagada</x:v>
      </x:c>
    </x:row>
    <x:row r="4">
      <x:c r="A4" s="80" t="n">
        <x:v>14370</x:v>
      </x:c>
      <x:c r="B4" s="70" t="n">
        <x:v>2250</x:v>
      </x:c>
      <x:c r="C4" s="70" t="n">
        <x:v>12120</x:v>
      </x:c>
      <x:c r="D4" s="74" t="str">
        <x:v>Emitida</x:v>
      </x:c>
    </x:row>
    <x:row r="5">
      <x:c r="A5" s="80" t="n">
        <x:v>24790</x:v>
      </x:c>
      <x:c r="B5" s="70" t="n">
        <x:v>5000</x:v>
      </x:c>
      <x:c r="C5" s="70" t="n">
        <x:v>19790</x:v>
      </x:c>
      <x:c r="D5" s="74" t="str">
        <x:v>Pagada</x:v>
      </x:c>
    </x:row>
    <x:row r="6">
      <x:c r="A6" s="80" t="n">
        <x:v>39664</x:v>
      </x:c>
      <x:c r="B6" s="70" t="n">
        <x:v>8000</x:v>
      </x:c>
      <x:c r="C6" s="70" t="n">
        <x:v>31664</x:v>
      </x:c>
      <x:c r="D6" s="74" t="str">
        <x:v>Emitida</x:v>
      </x:c>
    </x:row>
    <x:row r="7">
      <x:c r="A7" s="81" t="n">
        <x:v>247899</x:v>
      </x:c>
      <x:c r="B7" s="71" t="n">
        <x:v>50000</x:v>
      </x:c>
      <x:c r="C7" s="71" t="n">
        <x:v>197899</x:v>
      </x:c>
      <x:c r="D7" s="75" t="str">
        <x:v>Emitida</x:v>
      </x:c>
    </x:row>
  </x:sheetData>
  <x:pageMargins left="0.7" right="0.7" top="0.75" bottom="0.75" header="0.3" footer="0.3"/>
  <x:tableParts count="1">
    <x:tablePart xmlns:r="http://schemas.openxmlformats.org/officeDocument/2006/relationships" r:id="R009c5fcde0a74b9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9.25" hidden="0" customWidth="1"/>
    <x:col min="3" max="3" width="10.380000114440918" hidden="0" customWidth="1"/>
    <x:col min="4" max="4" width="6.75" hidden="0" customWidth="1"/>
    <x:col min="5" max="5" width="8.75" hidden="0" customWidth="1"/>
    <x:col min="6" max="6" width="12.130000114440918" hidden="0" customWidth="1"/>
    <x:col min="7" max="7" width="11.880000114440918" hidden="0" customWidth="1"/>
    <x:col min="8" max="8" width="7.75" hidden="0" customWidth="1"/>
  </x:cols>
  <x:sheetData>
    <x:row r="1">
      <x:c r="A1" s="65" t="str">
        <x:v>ID_PDV</x:v>
      </x:c>
      <x:c r="B1" s="66" t="str">
        <x:v>SKU</x:v>
      </x:c>
      <x:c r="C1" s="66" t="str">
        <x:v>Stock_Inicial</x:v>
      </x:c>
      <x:c r="D1" s="66" t="str">
        <x:v>Vendido</x:v>
      </x:c>
      <x:c r="E1" s="66" t="str">
        <x:v>Disponible</x:v>
      </x:c>
      <x:c r="F1" s="66" t="str">
        <x:v>Vel_Venta_sem</x:v>
      </x:c>
      <x:c r="G1" s="66" t="str">
        <x:v>Semanas_Rest</x:v>
      </x:c>
      <x:c r="H1" s="67" t="str">
        <x:v>Alerta</x:v>
      </x:c>
    </x:row>
    <x:row r="2">
      <x:c r="A2" s="54" t="str">
        <x:v>D001</x:v>
      </x:c>
      <x:c r="B2" s="45" t="str">
        <x:v>SKU-CAC-U</x:v>
      </x:c>
      <x:c r="C2" s="72" t="n">
        <x:v>12</x:v>
      </x:c>
      <x:c r="D2" s="45" t="n">
        <x:v>12</x:v>
      </x:c>
      <x:c r="E2" s="68" t="n">
        <x:v>0</x:v>
      </x:c>
      <x:c r="F2" s="70" t="n">
        <x:v>3</x:v>
      </x:c>
      <x:c r="G2" s="68" t="n">
        <x:v>0</x:v>
      </x:c>
      <x:c r="H2" s="55" t="str">
        <x:v>REPONER</x:v>
      </x:c>
    </x:row>
    <x:row r="3">
      <x:c r="A3" s="54" t="str">
        <x:v>D002</x:v>
      </x:c>
      <x:c r="B3" s="45" t="str">
        <x:v>SKU-MAN-U</x:v>
      </x:c>
      <x:c r="C3" s="72" t="n">
        <x:v>8</x:v>
      </x:c>
      <x:c r="D3" s="45" t="n">
        <x:v>8</x:v>
      </x:c>
      <x:c r="E3" s="68" t="n">
        <x:v>0</x:v>
      </x:c>
      <x:c r="F3" s="70" t="n">
        <x:v>3</x:v>
      </x:c>
      <x:c r="G3" s="68" t="n">
        <x:v>0</x:v>
      </x:c>
      <x:c r="H3" s="55" t="str">
        <x:v>REPONER</x:v>
      </x:c>
    </x:row>
    <x:row r="4">
      <x:c r="A4" s="54" t="str">
        <x:v>AN01</x:v>
      </x:c>
      <x:c r="B4" s="45" t="str">
        <x:v>SKU-FRU-U</x:v>
      </x:c>
      <x:c r="C4" s="72" t="n">
        <x:v>9</x:v>
      </x:c>
      <x:c r="D4" s="45" t="n">
        <x:v>9</x:v>
      </x:c>
      <x:c r="E4" s="68" t="n">
        <x:v>0</x:v>
      </x:c>
      <x:c r="F4" s="70" t="n">
        <x:v>2</x:v>
      </x:c>
      <x:c r="G4" s="68" t="n">
        <x:v>0</x:v>
      </x:c>
      <x:c r="H4" s="55" t="str">
        <x:v>REPONER</x:v>
      </x:c>
    </x:row>
    <x:row r="5">
      <x:c r="A5" s="54" t="str">
        <x:v>P001</x:v>
      </x:c>
      <x:c r="B5" s="45" t="str">
        <x:v>SKU-CAC-4</x:v>
      </x:c>
      <x:c r="C5" s="72" t="n">
        <x:v>5</x:v>
      </x:c>
      <x:c r="D5" s="45" t="n">
        <x:v>5</x:v>
      </x:c>
      <x:c r="E5" s="68" t="n">
        <x:v>0</x:v>
      </x:c>
      <x:c r="F5" s="70" t="n">
        <x:v>2</x:v>
      </x:c>
      <x:c r="G5" s="68" t="n">
        <x:v>0</x:v>
      </x:c>
      <x:c r="H5" s="55" t="str">
        <x:v>REPONER</x:v>
      </x:c>
    </x:row>
    <x:row r="6">
      <x:c r="A6" s="54" t="str">
        <x:v>H001</x:v>
      </x:c>
      <x:c r="B6" s="45" t="str">
        <x:v>SKU-MAN-4</x:v>
      </x:c>
      <x:c r="C6" s="72" t="n">
        <x:v>10</x:v>
      </x:c>
      <x:c r="D6" s="45" t="n">
        <x:v>8</x:v>
      </x:c>
      <x:c r="E6" s="68" t="n">
        <x:v>2</x:v>
      </x:c>
      <x:c r="F6" s="70" t="n">
        <x:v>2</x:v>
      </x:c>
      <x:c r="G6" s="68" t="n">
        <x:v>1</x:v>
      </x:c>
      <x:c r="H6" s="55" t="str">
        <x:v>REPONER</x:v>
      </x:c>
    </x:row>
    <x:row r="7">
      <x:c r="A7" s="56" t="str">
        <x:v>J001</x:v>
      </x:c>
      <x:c r="B7" s="57" t="str">
        <x:v>SKU-FRU-4</x:v>
      </x:c>
      <x:c r="C7" s="73" t="n">
        <x:v>60</x:v>
      </x:c>
      <x:c r="D7" s="57" t="n">
        <x:v>50</x:v>
      </x:c>
      <x:c r="E7" s="69" t="n">
        <x:v>10</x:v>
      </x:c>
      <x:c r="F7" s="71" t="n">
        <x:v>5</x:v>
      </x:c>
      <x:c r="G7" s="69" t="n">
        <x:v>2</x:v>
      </x:c>
      <x:c r="H7" s="58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e8ec5057e743410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6.130000114440918" hidden="0" customWidth="1"/>
    <x:col min="3" max="3" width="6.130000114440918" hidden="0" customWidth="1"/>
    <x:col min="4" max="4" width="9.130000114440918" hidden="0" customWidth="1"/>
    <x:col min="5" max="5" width="3.5" hidden="0" customWidth="1"/>
    <x:col min="6" max="6" width="15.630000114440918" hidden="0" customWidth="1"/>
    <x:col min="7" max="7" width="9.25" hidden="0" customWidth="1"/>
  </x:cols>
  <x:sheetData>
    <x:row r="1">
      <x:c r="A1" s="65" t="str">
        <x:v>Fecha</x:v>
      </x:c>
      <x:c r="B1" s="66" t="str">
        <x:v>Tipo</x:v>
      </x:c>
      <x:c r="C1" s="66" t="str">
        <x:v>ID_PDV</x:v>
      </x:c>
      <x:c r="D1" s="66" t="str">
        <x:v>SKU</x:v>
      </x:c>
      <x:c r="E1" s="66" t="str">
        <x:v>Uds</x:v>
      </x:c>
      <x:c r="F1" s="66" t="str">
        <x:v>Motivo</x:v>
      </x:c>
      <x:c r="G1" s="67" t="str">
        <x:v>Resp</x:v>
      </x:c>
    </x:row>
    <x:row r="2">
      <x:c r="A2" s="78" t="n">
        <x:v>46235</x:v>
      </x:c>
      <x:c r="B2" s="45" t="str">
        <x:v>Entrada</x:v>
      </x:c>
      <x:c r="C2" s="45" t="str">
        <x:v>J001</x:v>
      </x:c>
      <x:c r="D2" s="45" t="str">
        <x:v>SKU-FRU-4</x:v>
      </x:c>
      <x:c r="E2" s="68" t="n">
        <x:v>60</x:v>
      </x:c>
      <x:c r="F2" s="45" t="str">
        <x:v>Stock inicial Jumbo</x:v>
      </x:c>
      <x:c r="G2" s="55" t="str">
        <x:v>Jose Ignacio</x:v>
      </x:c>
    </x:row>
    <x:row r="3">
      <x:c r="A3" s="78" t="n">
        <x:v>46239</x:v>
      </x:c>
      <x:c r="B3" s="45" t="str">
        <x:v>Salida</x:v>
      </x:c>
      <x:c r="C3" s="45" t="str">
        <x:v>J001</x:v>
      </x:c>
      <x:c r="D3" s="45" t="str">
        <x:v>SKU-FRU-4</x:v>
      </x:c>
      <x:c r="E3" s="68" t="n">
        <x:v>50</x:v>
      </x:c>
      <x:c r="F3" s="45" t="str">
        <x:v>Despacho OC-88231</x:v>
      </x:c>
      <x:c r="G3" s="55" t="str">
        <x:v>Jose Ignacio</x:v>
      </x:c>
    </x:row>
    <x:row r="4">
      <x:c r="A4" s="79" t="n">
        <x:v>46244</x:v>
      </x:c>
      <x:c r="B4" s="57" t="str">
        <x:v>Ajuste</x:v>
      </x:c>
      <x:c r="C4" s="57" t="str">
        <x:v>D001</x:v>
      </x:c>
      <x:c r="D4" s="57" t="str">
        <x:v>SKU-CAC-U</x:v>
      </x:c>
      <x:c r="E4" s="69" t="n">
        <x:v>-1</x:v>
      </x:c>
      <x:c r="F4" s="57" t="str">
        <x:v>Merma</x:v>
      </x:c>
      <x:c r="G4" s="58" t="str">
        <x:v>Ana Barra</x:v>
      </x:c>
    </x:row>
  </x:sheetData>
  <x:pageMargins left="0.7" right="0.7" top="0.75" bottom="0.75" header="0.3" footer="0.3"/>
  <x:tableParts count="1">
    <x:tablePart xmlns:r="http://schemas.openxmlformats.org/officeDocument/2006/relationships" r:id="Re41daf62af6f4fa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9.380000114440918" hidden="0" customWidth="1"/>
    <x:col min="3" max="3" width="13.380000114440918" hidden="0" customWidth="1"/>
    <x:col min="4" max="4" width="11.880000114440918" hidden="0" customWidth="1"/>
    <x:col min="5" max="5" width="13.380000114440918" hidden="0" customWidth="1"/>
    <x:col min="6" max="6" width="12.130000114440918" hidden="0" customWidth="1"/>
    <x:col min="7" max="7" width="8.75" hidden="0" customWidth="1"/>
    <x:col min="8" max="8" width="10.5" hidden="0" customWidth="1"/>
    <x:col min="9" max="9" width="7.25" hidden="0" customWidth="1"/>
  </x:cols>
  <x:sheetData>
    <x:row r="1">
      <x:c r="A1" s="65" t="str">
        <x:v>SKU</x:v>
      </x:c>
      <x:c r="B1" s="66" t="str">
        <x:v>Stock_Total</x:v>
      </x:c>
      <x:c r="C1" s="66" t="str">
        <x:v>Asignado_Jumbo</x:v>
      </x:c>
      <x:c r="D1" s="66" t="str">
        <x:v>Asignado_Ruta</x:v>
      </x:c>
      <x:c r="E1" s="66" t="str">
        <x:v>Stock_Seguridad</x:v>
      </x:c>
      <x:c r="F1" s="66" t="str">
        <x:v>Comprometido</x:v>
      </x:c>
      <x:c r="G1" s="66" t="str">
        <x:v>Disponible</x:v>
      </x:c>
      <x:c r="H1" s="66" t="str">
        <x:v>Punto_Repos</x:v>
      </x:c>
      <x:c r="I1" s="67" t="str">
        <x:v>Alerta</x:v>
      </x:c>
    </x:row>
    <x:row r="2">
      <x:c r="A2" s="54" t="str">
        <x:v>SKU-CAC-U</x:v>
      </x:c>
      <x:c r="B2" s="72" t="n">
        <x:v>200</x:v>
      </x:c>
      <x:c r="C2" s="68" t="n">
        <x:v>120</x:v>
      </x:c>
      <x:c r="D2" s="68" t="n">
        <x:v>60</x:v>
      </x:c>
      <x:c r="E2" s="72" t="n">
        <x:v>20</x:v>
      </x:c>
      <x:c r="F2" s="68" t="n">
        <x:v>0</x:v>
      </x:c>
      <x:c r="G2" s="68" t="n">
        <x:v>0</x:v>
      </x:c>
      <x:c r="H2" s="68" t="n">
        <x:v>30</x:v>
      </x:c>
      <x:c r="I2" s="55" t="str">
        <x:v>QUIEBRE</x:v>
      </x:c>
    </x:row>
    <x:row r="3">
      <x:c r="A3" s="54" t="str">
        <x:v>SKU-MAN-U</x:v>
      </x:c>
      <x:c r="B3" s="72" t="n">
        <x:v>200</x:v>
      </x:c>
      <x:c r="C3" s="68" t="n">
        <x:v>120</x:v>
      </x:c>
      <x:c r="D3" s="68" t="n">
        <x:v>60</x:v>
      </x:c>
      <x:c r="E3" s="72" t="n">
        <x:v>20</x:v>
      </x:c>
      <x:c r="F3" s="68" t="n">
        <x:v>0</x:v>
      </x:c>
      <x:c r="G3" s="68" t="n">
        <x:v>0</x:v>
      </x:c>
      <x:c r="H3" s="68" t="n">
        <x:v>30</x:v>
      </x:c>
      <x:c r="I3" s="55" t="str">
        <x:v>QUIEBRE</x:v>
      </x:c>
    </x:row>
    <x:row r="4">
      <x:c r="A4" s="54" t="str">
        <x:v>SKU-FRU-U</x:v>
      </x:c>
      <x:c r="B4" s="72" t="n">
        <x:v>200</x:v>
      </x:c>
      <x:c r="C4" s="68" t="n">
        <x:v>120</x:v>
      </x:c>
      <x:c r="D4" s="68" t="n">
        <x:v>60</x:v>
      </x:c>
      <x:c r="E4" s="72" t="n">
        <x:v>20</x:v>
      </x:c>
      <x:c r="F4" s="68" t="n">
        <x:v>0</x:v>
      </x:c>
      <x:c r="G4" s="68" t="n">
        <x:v>0</x:v>
      </x:c>
      <x:c r="H4" s="68" t="n">
        <x:v>30</x:v>
      </x:c>
      <x:c r="I4" s="55" t="str">
        <x:v>QUIEBRE</x:v>
      </x:c>
    </x:row>
    <x:row r="5">
      <x:c r="A5" s="54" t="str">
        <x:v>SKU-CAC-4</x:v>
      </x:c>
      <x:c r="B5" s="72" t="n">
        <x:v>200</x:v>
      </x:c>
      <x:c r="C5" s="68" t="n">
        <x:v>120</x:v>
      </x:c>
      <x:c r="D5" s="68" t="n">
        <x:v>60</x:v>
      </x:c>
      <x:c r="E5" s="72" t="n">
        <x:v>20</x:v>
      </x:c>
      <x:c r="F5" s="68" t="n">
        <x:v>0</x:v>
      </x:c>
      <x:c r="G5" s="68" t="n">
        <x:v>0</x:v>
      </x:c>
      <x:c r="H5" s="68" t="n">
        <x:v>30</x:v>
      </x:c>
      <x:c r="I5" s="55" t="str">
        <x:v>QUIEBRE</x:v>
      </x:c>
    </x:row>
    <x:row r="6">
      <x:c r="A6" s="54" t="str">
        <x:v>SKU-MAN-4</x:v>
      </x:c>
      <x:c r="B6" s="72" t="n">
        <x:v>200</x:v>
      </x:c>
      <x:c r="C6" s="68" t="n">
        <x:v>120</x:v>
      </x:c>
      <x:c r="D6" s="68" t="n">
        <x:v>60</x:v>
      </x:c>
      <x:c r="E6" s="72" t="n">
        <x:v>20</x:v>
      </x:c>
      <x:c r="F6" s="68" t="n">
        <x:v>0</x:v>
      </x:c>
      <x:c r="G6" s="68" t="n">
        <x:v>0</x:v>
      </x:c>
      <x:c r="H6" s="68" t="n">
        <x:v>30</x:v>
      </x:c>
      <x:c r="I6" s="55" t="str">
        <x:v>QUIEBRE</x:v>
      </x:c>
    </x:row>
    <x:row r="7">
      <x:c r="A7" s="56" t="str">
        <x:v>SKU-FRU-4</x:v>
      </x:c>
      <x:c r="B7" s="73" t="n">
        <x:v>200</x:v>
      </x:c>
      <x:c r="C7" s="69" t="n">
        <x:v>120</x:v>
      </x:c>
      <x:c r="D7" s="69" t="n">
        <x:v>60</x:v>
      </x:c>
      <x:c r="E7" s="73" t="n">
        <x:v>20</x:v>
      </x:c>
      <x:c r="F7" s="69" t="n">
        <x:v>0</x:v>
      </x:c>
      <x:c r="G7" s="69" t="n">
        <x:v>0</x:v>
      </x:c>
      <x:c r="H7" s="69" t="n">
        <x:v>30</x:v>
      </x:c>
      <x:c r="I7" s="58" t="str">
        <x:v>QUIEBRE</x:v>
      </x:c>
    </x:row>
  </x:sheetData>
  <x:pageMargins left="0.7" right="0.7" top="0.75" bottom="0.75" header="0.3" footer="0.3"/>
  <x:tableParts count="1">
    <x:tablePart xmlns:r="http://schemas.openxmlformats.org/officeDocument/2006/relationships" r:id="Ra5e0c146fab3408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13.5" hidden="0" customWidth="1"/>
    <x:col min="3" max="3" width="8.380000114440918" hidden="0" customWidth="1"/>
  </x:cols>
  <x:sheetData>
    <x:row r="1">
      <x:c r="A1" s="65" t="str">
        <x:v>SKU</x:v>
      </x:c>
      <x:c r="B1" s="66" t="str">
        <x:v>Descripcion</x:v>
      </x:c>
      <x:c r="C1" s="67" t="str">
        <x:v>Formato</x:v>
      </x:c>
    </x:row>
    <x:row r="2">
      <x:c r="A2" s="54" t="str">
        <x:v>SKU-CAC-U</x:v>
      </x:c>
      <x:c r="B2" s="45" t="str">
        <x:v>Barra Cacao 40g</x:v>
      </x:c>
      <x:c r="C2" s="55" t="str">
        <x:v>Unitaria</x:v>
      </x:c>
    </x:row>
    <x:row r="3">
      <x:c r="A3" s="54" t="str">
        <x:v>SKU-MAN-U</x:v>
      </x:c>
      <x:c r="B3" s="45" t="str">
        <x:v>Barra Mani 40g</x:v>
      </x:c>
      <x:c r="C3" s="55" t="str">
        <x:v>Unitaria</x:v>
      </x:c>
    </x:row>
    <x:row r="4">
      <x:c r="A4" s="54" t="str">
        <x:v>SKU-FRU-U</x:v>
      </x:c>
      <x:c r="B4" s="45" t="str">
        <x:v>Barra Frutal 40g</x:v>
      </x:c>
      <x:c r="C4" s="55" t="str">
        <x:v>Unitaria</x:v>
      </x:c>
    </x:row>
    <x:row r="5">
      <x:c r="A5" s="54" t="str">
        <x:v>SKU-CAC-4</x:v>
      </x:c>
      <x:c r="B5" s="45" t="str">
        <x:v>Estuche Cacao x4</x:v>
      </x:c>
      <x:c r="C5" s="55" t="str">
        <x:v>Estuche x4</x:v>
      </x:c>
    </x:row>
    <x:row r="6">
      <x:c r="A6" s="54" t="str">
        <x:v>SKU-MAN-4</x:v>
      </x:c>
      <x:c r="B6" s="45" t="str">
        <x:v>Estuche Mani x4</x:v>
      </x:c>
      <x:c r="C6" s="55" t="str">
        <x:v>Estuche x4</x:v>
      </x:c>
    </x:row>
    <x:row r="7">
      <x:c r="A7" s="56" t="str">
        <x:v>SKU-FRU-4</x:v>
      </x:c>
      <x:c r="B7" s="57" t="str">
        <x:v>Estuche Frutal x4</x:v>
      </x:c>
      <x:c r="C7" s="58" t="str">
        <x:v>Estuche x4</x:v>
      </x:c>
    </x:row>
  </x:sheetData>
  <x:pageMargins left="0.7" right="0.7" top="0.75" bottom="0.75" header="0.3" footer="0.3"/>
  <x:tableParts count="1">
    <x:tablePart xmlns:r="http://schemas.openxmlformats.org/officeDocument/2006/relationships" r:id="R72b988e52dd2406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18.3799991607666" hidden="0" customWidth="1"/>
    <x:col min="3" max="3" width="9.25" hidden="0" customWidth="1"/>
    <x:col min="4" max="4" width="7.880000114440918" hidden="0" customWidth="1"/>
  </x:cols>
  <x:sheetData>
    <x:row r="1">
      <x:c r="A1" s="65" t="str">
        <x:v>ID_PDV</x:v>
      </x:c>
      <x:c r="B1" s="66" t="str">
        <x:v>Nombre_PDV</x:v>
      </x:c>
      <x:c r="C1" s="66" t="str">
        <x:v>Resp</x:v>
      </x:c>
      <x:c r="D1" s="67" t="str">
        <x:v>Estado</x:v>
      </x:c>
    </x:row>
    <x:row r="2">
      <x:c r="A2" s="54" t="str">
        <x:v>J001</x:v>
      </x:c>
      <x:c r="B2" s="45" t="str">
        <x:v>Jumbo Parque Arauco</x:v>
      </x:c>
      <x:c r="C2" s="45" t="str">
        <x:v>Jose Ignacio</x:v>
      </x:c>
      <x:c r="D2" s="55" t="str">
        <x:v>Activo</x:v>
      </x:c>
    </x:row>
    <x:row r="3">
      <x:c r="A3" s="54" t="str">
        <x:v>J002</x:v>
      </x:c>
      <x:c r="B3" s="45" t="str">
        <x:v>Jumbo Alto Las Condes</x:v>
      </x:c>
      <x:c r="C3" s="45" t="str">
        <x:v>Jose Ignacio</x:v>
      </x:c>
      <x:c r="D3" s="55" t="str">
        <x:v>Activo</x:v>
      </x:c>
    </x:row>
    <x:row r="4">
      <x:c r="A4" s="54" t="str">
        <x:v>J003</x:v>
      </x:c>
      <x:c r="B4" s="45" t="str">
        <x:v>Jumbo Kennedy</x:v>
      </x:c>
      <x:c r="C4" s="45" t="str">
        <x:v>Jose Ignacio</x:v>
      </x:c>
      <x:c r="D4" s="55" t="str">
        <x:v>Activo</x:v>
      </x:c>
    </x:row>
    <x:row r="5">
      <x:c r="A5" s="54" t="str">
        <x:v>J004</x:v>
      </x:c>
      <x:c r="B5" s="45" t="str">
        <x:v>Jumbo Bilbao</x:v>
      </x:c>
      <x:c r="C5" s="45" t="str">
        <x:v>Jose Ignacio</x:v>
      </x:c>
      <x:c r="D5" s="55" t="str">
        <x:v>Activo</x:v>
      </x:c>
    </x:row>
    <x:row r="6">
      <x:c r="A6" s="54" t="str">
        <x:v>J005</x:v>
      </x:c>
      <x:c r="B6" s="45" t="str">
        <x:v>Jumbo Los Dominicos</x:v>
      </x:c>
      <x:c r="C6" s="45" t="str">
        <x:v>Jose Ignacio</x:v>
      </x:c>
      <x:c r="D6" s="55" t="str">
        <x:v>Activo</x:v>
      </x:c>
    </x:row>
    <x:row r="7">
      <x:c r="A7" s="54" t="str">
        <x:v>J006</x:v>
      </x:c>
      <x:c r="B7" s="45" t="str">
        <x:v>Jumbo Portal La Reina</x:v>
      </x:c>
      <x:c r="C7" s="45" t="str">
        <x:v>Jose Ignacio</x:v>
      </x:c>
      <x:c r="D7" s="55" t="str">
        <x:v>Activo</x:v>
      </x:c>
    </x:row>
    <x:row r="8">
      <x:c r="A8" s="54" t="str">
        <x:v>J007</x:v>
      </x:c>
      <x:c r="B8" s="45" t="str">
        <x:v>Jumbo La Florida</x:v>
      </x:c>
      <x:c r="C8" s="45" t="str">
        <x:v>Jose Ignacio</x:v>
      </x:c>
      <x:c r="D8" s="55" t="str">
        <x:v>Activo</x:v>
      </x:c>
    </x:row>
    <x:row r="9">
      <x:c r="A9" s="54" t="str">
        <x:v>J008</x:v>
      </x:c>
      <x:c r="B9" s="45" t="str">
        <x:v>Jumbo Maipu</x:v>
      </x:c>
      <x:c r="C9" s="45" t="str">
        <x:v>Jose Ignacio</x:v>
      </x:c>
      <x:c r="D9" s="55" t="str">
        <x:v>Activo</x:v>
      </x:c>
    </x:row>
    <x:row r="10">
      <x:c r="A10" s="54" t="str">
        <x:v>J009</x:v>
      </x:c>
      <x:c r="B10" s="45" t="str">
        <x:v>Jumbo Vespucio</x:v>
      </x:c>
      <x:c r="C10" s="45" t="str">
        <x:v>Jose Ignacio</x:v>
      </x:c>
      <x:c r="D10" s="55" t="str">
        <x:v>Activo</x:v>
      </x:c>
    </x:row>
    <x:row r="11">
      <x:c r="A11" s="54" t="str">
        <x:v>J010</x:v>
      </x:c>
      <x:c r="B11" s="45" t="str">
        <x:v>Jumbo Costanera Center</x:v>
      </x:c>
      <x:c r="C11" s="45" t="str">
        <x:v>Jose Ignacio</x:v>
      </x:c>
      <x:c r="D11" s="55" t="str">
        <x:v>Activo</x:v>
      </x:c>
    </x:row>
    <x:row r="12">
      <x:c r="A12" s="54" t="str">
        <x:v>J011</x:v>
      </x:c>
      <x:c r="B12" s="45" t="str">
        <x:v>Jumbo Nunoa</x:v>
      </x:c>
      <x:c r="C12" s="45" t="str">
        <x:v>Jose Ignacio</x:v>
      </x:c>
      <x:c r="D12" s="55" t="str">
        <x:v>Activo</x:v>
      </x:c>
    </x:row>
    <x:row r="13">
      <x:c r="A13" s="54" t="str">
        <x:v>J012</x:v>
      </x:c>
      <x:c r="B13" s="45" t="str">
        <x:v>Jumbo Estoril</x:v>
      </x:c>
      <x:c r="C13" s="45" t="str">
        <x:v>Jose Ignacio</x:v>
      </x:c>
      <x:c r="D13" s="55" t="str">
        <x:v>Activo</x:v>
      </x:c>
    </x:row>
    <x:row r="14">
      <x:c r="A14" s="54" t="str">
        <x:v>J013</x:v>
      </x:c>
      <x:c r="B14" s="45" t="str">
        <x:v>Jumbo Puente Alto</x:v>
      </x:c>
      <x:c r="C14" s="45" t="str">
        <x:v>Jose Ignacio</x:v>
      </x:c>
      <x:c r="D14" s="55" t="str">
        <x:v>Activo</x:v>
      </x:c>
    </x:row>
    <x:row r="15">
      <x:c r="A15" s="54" t="str">
        <x:v>J014</x:v>
      </x:c>
      <x:c r="B15" s="45" t="str">
        <x:v>Jumbo San Bernardo</x:v>
      </x:c>
      <x:c r="C15" s="45" t="str">
        <x:v>Ana Barra</x:v>
      </x:c>
      <x:c r="D15" s="55" t="str">
        <x:v>Activo</x:v>
      </x:c>
    </x:row>
    <x:row r="16">
      <x:c r="A16" s="54" t="str">
        <x:v>J015</x:v>
      </x:c>
      <x:c r="B16" s="45" t="str">
        <x:v>Jumbo Providencia</x:v>
      </x:c>
      <x:c r="C16" s="45" t="str">
        <x:v>Ana Barra</x:v>
      </x:c>
      <x:c r="D16" s="55" t="str">
        <x:v>Prospecto</x:v>
      </x:c>
    </x:row>
    <x:row r="17">
      <x:c r="A17" s="54" t="str">
        <x:v>D001</x:v>
      </x:c>
      <x:c r="B17" s="45" t="str">
        <x:v>Dellanatura Las Condes</x:v>
      </x:c>
      <x:c r="C17" s="45" t="str">
        <x:v>Ana Barra</x:v>
      </x:c>
      <x:c r="D17" s="55" t="str">
        <x:v>Activo</x:v>
      </x:c>
    </x:row>
    <x:row r="18">
      <x:c r="A18" s="54" t="str">
        <x:v>D002</x:v>
      </x:c>
      <x:c r="B18" s="45" t="str">
        <x:v>Dellanatura Providencia</x:v>
      </x:c>
      <x:c r="C18" s="45" t="str">
        <x:v>Ana Barra</x:v>
      </x:c>
      <x:c r="D18" s="55" t="str">
        <x:v>Activo</x:v>
      </x:c>
    </x:row>
    <x:row r="19">
      <x:c r="A19" s="54" t="str">
        <x:v>AN01</x:v>
      </x:c>
      <x:c r="B19" s="45" t="str">
        <x:v>All Nutrition Vitacura</x:v>
      </x:c>
      <x:c r="C19" s="45" t="str">
        <x:v>Jose Ignacio</x:v>
      </x:c>
      <x:c r="D19" s="55" t="str">
        <x:v>Activo</x:v>
      </x:c>
    </x:row>
    <x:row r="20">
      <x:c r="A20" s="54" t="str">
        <x:v>CO01</x:v>
      </x:c>
      <x:c r="B20" s="45" t="str">
        <x:v>Central Organica</x:v>
      </x:c>
      <x:c r="C20" s="45" t="str">
        <x:v>Jose Ignacio</x:v>
      </x:c>
      <x:c r="D20" s="55" t="str">
        <x:v>Activo</x:v>
      </x:c>
    </x:row>
    <x:row r="21">
      <x:c r="A21" s="54" t="str">
        <x:v>F001</x:v>
      </x:c>
      <x:c r="B21" s="45" t="str">
        <x:v>Fork Costanera</x:v>
      </x:c>
      <x:c r="C21" s="45" t="str">
        <x:v>Jose Ignacio</x:v>
      </x:c>
      <x:c r="D21" s="55" t="str">
        <x:v>Activo</x:v>
      </x:c>
    </x:row>
    <x:row r="22">
      <x:c r="A22" s="54" t="str">
        <x:v>F002</x:v>
      </x:c>
      <x:c r="B22" s="45" t="str">
        <x:v>Fork Las Condes</x:v>
      </x:c>
      <x:c r="C22" s="45" t="str">
        <x:v>Ana Barra</x:v>
      </x:c>
      <x:c r="D22" s="55" t="str">
        <x:v>Activo</x:v>
      </x:c>
    </x:row>
    <x:row r="23">
      <x:c r="A23" s="54" t="str">
        <x:v>P001</x:v>
      </x:c>
      <x:c r="B23" s="45" t="str">
        <x:v>Pirque Centro del Vino</x:v>
      </x:c>
      <x:c r="C23" s="45" t="str">
        <x:v>Jose Ignacio</x:v>
      </x:c>
      <x:c r="D23" s="55" t="str">
        <x:v>Activo</x:v>
      </x:c>
    </x:row>
    <x:row r="24">
      <x:c r="A24" s="56" t="str">
        <x:v>H001</x:v>
      </x:c>
      <x:c r="B24" s="57" t="str">
        <x:v>Ritz-Carlton Santiago</x:v>
      </x:c>
      <x:c r="C24" s="57" t="str">
        <x:v>Jose Ignacio</x:v>
      </x:c>
      <x:c r="D24" s="58" t="str">
        <x:v>Activo</x:v>
      </x:c>
    </x:row>
  </x:sheetData>
  <x:pageMargins left="0.7" right="0.7" top="0.75" bottom="0.75" header="0.3" footer="0.3"/>
  <x:tableParts count="1">
    <x:tablePart xmlns:r="http://schemas.openxmlformats.org/officeDocument/2006/relationships" r:id="Rcad29d60a4194c1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9.25" hidden="0" customWidth="1"/>
    <x:col min="3" max="3" width="3.5" hidden="0" customWidth="1"/>
  </x:cols>
  <x:sheetData>
    <x:row r="1">
      <x:c r="A1" s="65" t="str">
        <x:v>ID_PDV</x:v>
      </x:c>
      <x:c r="B1" s="66" t="str">
        <x:v>SKU</x:v>
      </x:c>
      <x:c r="C1" s="67" t="str">
        <x:v>Uds</x:v>
      </x:c>
    </x:row>
    <x:row r="2">
      <x:c r="A2" s="54" t="str">
        <x:v>D001</x:v>
      </x:c>
      <x:c r="B2" s="45" t="str">
        <x:v>SKU-CAC-U</x:v>
      </x:c>
      <x:c r="C2" s="82" t="n">
        <x:v>12</x:v>
      </x:c>
    </x:row>
    <x:row r="3">
      <x:c r="A3" s="54" t="str">
        <x:v>D002</x:v>
      </x:c>
      <x:c r="B3" s="45" t="str">
        <x:v>SKU-MAN-U</x:v>
      </x:c>
      <x:c r="C3" s="82" t="n">
        <x:v>8</x:v>
      </x:c>
    </x:row>
    <x:row r="4">
      <x:c r="A4" s="54" t="str">
        <x:v>AN01</x:v>
      </x:c>
      <x:c r="B4" s="45" t="str">
        <x:v>SKU-FRU-U</x:v>
      </x:c>
      <x:c r="C4" s="82" t="n">
        <x:v>9</x:v>
      </x:c>
    </x:row>
    <x:row r="5">
      <x:c r="A5" s="54" t="str">
        <x:v>P001</x:v>
      </x:c>
      <x:c r="B5" s="45" t="str">
        <x:v>SKU-CAC-4</x:v>
      </x:c>
      <x:c r="C5" s="82" t="n">
        <x:v>5</x:v>
      </x:c>
    </x:row>
    <x:row r="6">
      <x:c r="A6" s="54" t="str">
        <x:v>H001</x:v>
      </x:c>
      <x:c r="B6" s="45" t="str">
        <x:v>SKU-MAN-4</x:v>
      </x:c>
      <x:c r="C6" s="82" t="n">
        <x:v>8</x:v>
      </x:c>
    </x:row>
    <x:row r="7">
      <x:c r="A7" s="56" t="str">
        <x:v>J001</x:v>
      </x:c>
      <x:c r="B7" s="57" t="str">
        <x:v>SKU-FRU-4</x:v>
      </x:c>
      <x:c r="C7" s="83" t="n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ed7e2d63907241f0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9.1299991607666" hidden="0" customWidth="1"/>
    <x:col min="2" max="2" width="5.880000114440918" hidden="0" customWidth="1"/>
  </x:cols>
  <x:sheetData>
    <x:row r="1">
      <x:c r="A1" s="65" t="str">
        <x:v>ANALISIS SELL-IN (conectado al CRM)</x:v>
      </x:c>
      <x:c r="B1" s="67"/>
    </x:row>
    <x:row r="2">
      <x:c r="A2" s="54"/>
      <x:c r="B2" s="55"/>
    </x:row>
    <x:row r="3">
      <x:c r="A3" s="54" t="str">
        <x:v>Total Uds</x:v>
      </x:c>
      <x:c r="B3" s="55" t="n">
        <x:v>1080</x:v>
      </x:c>
    </x:row>
    <x:row r="4">
      <x:c r="A4" s="54" t="str">
        <x:v>Total Venta Neta</x:v>
      </x:c>
      <x:c r="B4" s="55" t="n">
        <x:v>358656</x:v>
      </x:c>
    </x:row>
    <x:row r="5">
      <x:c r="A5" s="54" t="str">
        <x:v>Total Margen</x:v>
      </x:c>
      <x:c r="B5" s="55" t="n">
        <x:v>288406</x:v>
      </x:c>
    </x:row>
    <x:row r="6">
      <x:c r="A6" s="54" t="str">
        <x:v>CxC Emitida (pendiente)</x:v>
      </x:c>
      <x:c r="B6" s="55" t="n">
        <x:v>301933</x:v>
      </x:c>
    </x:row>
    <x:row r="7">
      <x:c r="A7" s="54"/>
      <x:c r="B7" s="55"/>
    </x:row>
    <x:row r="8">
      <x:c r="A8" s="54" t="str">
        <x:v>Venta por Cliente</x:v>
      </x:c>
      <x:c r="B8" s="55"/>
    </x:row>
    <x:row r="9">
      <x:c r="A9" s="54" t="str">
        <x:v>CL-DEL</x:v>
      </x:c>
      <x:c r="B9" s="55" t="n">
        <x:v>31933</x:v>
      </x:c>
    </x:row>
    <x:row r="10">
      <x:c r="A10" s="54" t="str">
        <x:v>CL-ALN</x:v>
      </x:c>
      <x:c r="B10" s="55" t="n">
        <x:v>14370</x:v>
      </x:c>
    </x:row>
    <x:row r="11">
      <x:c r="A11" s="54" t="str">
        <x:v>CL-PIR</x:v>
      </x:c>
      <x:c r="B11" s="55" t="n">
        <x:v>24790</x:v>
      </x:c>
    </x:row>
    <x:row r="12">
      <x:c r="A12" s="54" t="str">
        <x:v>CL-RITZ</x:v>
      </x:c>
      <x:c r="B12" s="55" t="n">
        <x:v>39664</x:v>
      </x:c>
    </x:row>
    <x:row r="13">
      <x:c r="A13" s="56" t="str">
        <x:v>CL-CEN</x:v>
      </x:c>
      <x:c r="B13" s="58" t="n">
        <x:v>247899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8.5" hidden="0" customWidth="1"/>
    <x:col min="3" max="3" width="8.380000114440918" hidden="0" customWidth="1"/>
    <x:col min="4" max="4" width="8" hidden="0" customWidth="1"/>
    <x:col min="5" max="5" width="8.630000114440918" hidden="0" customWidth="1"/>
    <x:col min="6" max="6" width="13.630000114440918" hidden="0" customWidth="1"/>
    <x:col min="7" max="7" width="6" hidden="0" customWidth="1"/>
    <x:col min="8" max="8" width="11.630000114440918" hidden="0" customWidth="1"/>
    <x:col min="9" max="9" width="8.25" hidden="0" customWidth="1"/>
    <x:col min="10" max="10" width="7.880000114440918" hidden="0" customWidth="1"/>
    <x:col min="11" max="11" width="13.75" hidden="0" customWidth="1"/>
    <x:col min="12" max="12" width="8.75" hidden="0" customWidth="1"/>
    <x:col min="13" max="13" width="11.25" hidden="0" customWidth="1"/>
  </x:cols>
  <x:sheetData>
    <x:row r="1">
      <x:c r="A1" s="65" t="str">
        <x:v>ID_Pedido</x:v>
      </x:c>
      <x:c r="B1" s="66" t="str">
        <x:v>ID_Cliente</x:v>
      </x:c>
      <x:c r="C1" s="66" t="str">
        <x:v>Fecha_OC</x:v>
      </x:c>
      <x:c r="D1" s="66" t="str">
        <x:v>N_OC</x:v>
      </x:c>
      <x:c r="E1" s="66" t="str">
        <x:v>Monto_OC</x:v>
      </x:c>
      <x:c r="F1" s="66" t="str">
        <x:v>Fecha_Despacho</x:v>
      </x:c>
      <x:c r="G1" s="66" t="str">
        <x:v>N_Guia</x:v>
      </x:c>
      <x:c r="H1" s="66" t="str">
        <x:v>Fecha_Factura</x:v>
      </x:c>
      <x:c r="I1" s="66" t="str">
        <x:v>N_Factura</x:v>
      </x:c>
      <x:c r="J1" s="66" t="str">
        <x:v>Estado</x:v>
      </x:c>
      <x:c r="K1" s="66" t="str">
        <x:v>Fecha_Pago_Real</x:v>
      </x:c>
      <x:c r="L1" s="66" t="str">
        <x:v>Dias_Ciclo</x:v>
      </x:c>
      <x:c r="M1" s="67" t="str">
        <x:v>Notas</x:v>
      </x:c>
    </x:row>
    <x:row r="2">
      <x:c r="A2" s="54" t="str">
        <x:v>PED001</x:v>
      </x:c>
      <x:c r="B2" s="45" t="str">
        <x:v>CL-CEN</x:v>
      </x:c>
      <x:c r="C2" s="72" t="n">
        <x:v>46032</x:v>
      </x:c>
      <x:c r="D2" s="72" t="str">
        <x:v>OC-88231</x:v>
      </x:c>
      <x:c r="E2" s="72" t="n">
        <x:v>295000</x:v>
      </x:c>
      <x:c r="F2" s="72" t="n">
        <x:v>46034</x:v>
      </x:c>
      <x:c r="G2" s="45" t="str">
        <x:v>G-1201</x:v>
      </x:c>
      <x:c r="H2" s="72" t="n">
        <x:v>46035</x:v>
      </x:c>
      <x:c r="I2" s="72" t="str">
        <x:v>F-5501</x:v>
      </x:c>
      <x:c r="J2" s="45" t="str">
        <x:v>Facturado</x:v>
      </x:c>
      <x:c r="K2" s="72"/>
      <x:c r="L2" s="68" t="n">
        <x:v>180</x:v>
      </x:c>
      <x:c r="M2" s="55" t="str">
        <x:v>B2B Cencosud</x:v>
      </x:c>
    </x:row>
    <x:row r="3">
      <x:c r="A3" s="54" t="str">
        <x:v>PED002</x:v>
      </x:c>
      <x:c r="B3" s="45" t="str">
        <x:v>CL-RITZ</x:v>
      </x:c>
      <x:c r="C3" s="72" t="n">
        <x:v>46033</x:v>
      </x:c>
      <x:c r="D3" s="72" t="str">
        <x:v>OC-RC-19</x:v>
      </x:c>
      <x:c r="E3" s="72" t="n">
        <x:v>47200</x:v>
      </x:c>
      <x:c r="F3" s="72" t="n">
        <x:v>46034</x:v>
      </x:c>
      <x:c r="G3" s="45" t="str">
        <x:v>G-1202</x:v>
      </x:c>
      <x:c r="H3" s="72" t="n">
        <x:v>46034</x:v>
      </x:c>
      <x:c r="I3" s="72" t="str">
        <x:v>F-5502</x:v>
      </x:c>
      <x:c r="J3" s="45" t="str">
        <x:v>Pagado</x:v>
      </x:c>
      <x:c r="K3" s="72" t="n">
        <x:v>46037</x:v>
      </x:c>
      <x:c r="L3" s="68" t="n">
        <x:v>4</x:v>
      </x:c>
      <x:c r="M3" s="55" t="str">
        <x:v>Contado</x:v>
      </x:c>
    </x:row>
    <x:row r="4">
      <x:c r="A4" s="54" t="str">
        <x:v>PED003</x:v>
      </x:c>
      <x:c r="B4" s="45" t="str">
        <x:v>CL-DEL</x:v>
      </x:c>
      <x:c r="C4" s="72" t="n">
        <x:v>46027</x:v>
      </x:c>
      <x:c r="D4" s="72" t="str">
        <x:v>OC-DL-03</x:v>
      </x:c>
      <x:c r="E4" s="72" t="n">
        <x:v>22800</x:v>
      </x:c>
      <x:c r="F4" s="72" t="n">
        <x:v>46027</x:v>
      </x:c>
      <x:c r="G4" s="45" t="str">
        <x:v>G-1150</x:v>
      </x:c>
      <x:c r="H4" s="72" t="n">
        <x:v>46027</x:v>
      </x:c>
      <x:c r="I4" s="72" t="str">
        <x:v>F-5490</x:v>
      </x:c>
      <x:c r="J4" s="45" t="str">
        <x:v>Cerrado</x:v>
      </x:c>
      <x:c r="K4" s="72" t="n">
        <x:v>46027</x:v>
      </x:c>
      <x:c r="L4" s="68" t="n">
        <x:v>0</x:v>
      </x:c>
      <x:c r="M4" s="55"/>
    </x:row>
    <x:row r="5">
      <x:c r="A5" s="54"/>
      <x:c r="B5" s="45"/>
      <x:c r="C5" s="72"/>
      <x:c r="D5" s="72"/>
      <x:c r="E5" s="72"/>
      <x:c r="F5" s="72"/>
      <x:c r="G5" s="45"/>
      <x:c r="H5" s="72"/>
      <x:c r="I5" s="72"/>
      <x:c r="J5" s="45"/>
      <x:c r="K5" s="72"/>
      <x:c r="L5" s="68"/>
      <x:c r="M5" s="55"/>
    </x:row>
    <x:row r="6">
      <x:c r="A6" s="56" t="str">
        <x:v>dejar en uno solo</x:v>
      </x:c>
      <x:c r="B6" s="57"/>
      <x:c r="C6" s="73"/>
      <x:c r="D6" s="73"/>
      <x:c r="E6" s="73"/>
      <x:c r="F6" s="73"/>
      <x:c r="G6" s="57"/>
      <x:c r="H6" s="73"/>
      <x:c r="I6" s="73"/>
      <x:c r="J6" s="57"/>
      <x:c r="K6" s="73"/>
      <x:c r="L6" s="69"/>
      <x:c r="M6" s="58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13.5" hidden="0" customWidth="1"/>
    <x:col min="3" max="3" width="5.25" hidden="0" customWidth="1"/>
    <x:col min="4" max="4" width="8.380000114440918" hidden="0" customWidth="1"/>
    <x:col min="5" max="5" width="10" hidden="0" customWidth="1"/>
    <x:col min="6" max="6" width="9" hidden="0" customWidth="1"/>
  </x:cols>
  <x:sheetData>
    <x:row r="1">
      <x:c r="A1" s="65" t="str">
        <x:v>SKU</x:v>
      </x:c>
      <x:c r="B1" s="66" t="str">
        <x:v>Descripcion</x:v>
      </x:c>
      <x:c r="C1" s="66" t="str">
        <x:v>Sabor</x:v>
      </x:c>
      <x:c r="D1" s="66" t="str">
        <x:v>Formato</x:v>
      </x:c>
      <x:c r="E1" s="66" t="str">
        <x:v>PVP_Neto</x:v>
      </x:c>
      <x:c r="F1" s="67" t="str">
        <x:v>Costo_Unit</x:v>
      </x:c>
    </x:row>
    <x:row r="2">
      <x:c r="A2" s="54" t="str">
        <x:v>SKU-CAC-U</x:v>
      </x:c>
      <x:c r="B2" s="45" t="str">
        <x:v>Barra Cacao 35g</x:v>
      </x:c>
      <x:c r="C2" s="45" t="str">
        <x:v>Cacao</x:v>
      </x:c>
      <x:c r="D2" s="45" t="str">
        <x:v>Unitaria</x:v>
      </x:c>
      <x:c r="E2" s="70" t="n">
        <x:v>1596.6386554621847</x:v>
      </x:c>
      <x:c r="F2" s="84" t="n">
        <x:v>250</x:v>
      </x:c>
    </x:row>
    <x:row r="3">
      <x:c r="A3" s="54" t="str">
        <x:v>SKU-MAN-U</x:v>
      </x:c>
      <x:c r="B3" s="45" t="str">
        <x:v>Barra Mani 35g</x:v>
      </x:c>
      <x:c r="C3" s="45" t="str">
        <x:v>Mani</x:v>
      </x:c>
      <x:c r="D3" s="45" t="str">
        <x:v>Unitaria</x:v>
      </x:c>
      <x:c r="E3" s="70" t="n">
        <x:v>1596.6386554621847</x:v>
      </x:c>
      <x:c r="F3" s="84" t="n">
        <x:v>250</x:v>
      </x:c>
    </x:row>
    <x:row r="4">
      <x:c r="A4" s="54" t="str">
        <x:v>SKU-FRU-U</x:v>
      </x:c>
      <x:c r="B4" s="45" t="str">
        <x:v>Barra Frutal 35g</x:v>
      </x:c>
      <x:c r="C4" s="45" t="str">
        <x:v>Frutal</x:v>
      </x:c>
      <x:c r="D4" s="45" t="str">
        <x:v>Unitaria</x:v>
      </x:c>
      <x:c r="E4" s="70" t="n">
        <x:v>1596.6386554621847</x:v>
      </x:c>
      <x:c r="F4" s="84" t="n">
        <x:v>250</x:v>
      </x:c>
    </x:row>
    <x:row r="5">
      <x:c r="A5" s="54" t="str">
        <x:v>SKU-CAC-4</x:v>
      </x:c>
      <x:c r="B5" s="45" t="str">
        <x:v>Estuche Cacao x4</x:v>
      </x:c>
      <x:c r="C5" s="45" t="str">
        <x:v>Cacao</x:v>
      </x:c>
      <x:c r="D5" s="45" t="str">
        <x:v>Estuche x4</x:v>
      </x:c>
      <x:c r="E5" s="70" t="n">
        <x:v>4957.983193277311</x:v>
      </x:c>
      <x:c r="F5" s="84" t="n">
        <x:v>1000</x:v>
      </x:c>
    </x:row>
    <x:row r="6">
      <x:c r="A6" s="54" t="str">
        <x:v>SKU-MAN-4</x:v>
      </x:c>
      <x:c r="B6" s="45" t="str">
        <x:v>Estuche Mani x4</x:v>
      </x:c>
      <x:c r="C6" s="45" t="str">
        <x:v>Mani</x:v>
      </x:c>
      <x:c r="D6" s="45" t="str">
        <x:v>Estuche x4</x:v>
      </x:c>
      <x:c r="E6" s="70" t="n">
        <x:v>4957.983193277311</x:v>
      </x:c>
      <x:c r="F6" s="84" t="n">
        <x:v>1000</x:v>
      </x:c>
    </x:row>
    <x:row r="7">
      <x:c r="A7" s="54" t="str">
        <x:v>SKU-FRU-4</x:v>
      </x:c>
      <x:c r="B7" s="45" t="str">
        <x:v>Estuche Frutal x4</x:v>
      </x:c>
      <x:c r="C7" s="45" t="str">
        <x:v>Frutal</x:v>
      </x:c>
      <x:c r="D7" s="45" t="str">
        <x:v>Estuche x4</x:v>
      </x:c>
      <x:c r="E7" s="70" t="n">
        <x:v>4957.983193277311</x:v>
      </x:c>
      <x:c r="F7" s="84" t="n">
        <x:v>1000</x:v>
      </x:c>
    </x:row>
    <x:row r="8">
      <x:c r="A8" s="56"/>
      <x:c r="B8" s="57"/>
      <x:c r="C8" s="57"/>
      <x:c r="D8" s="57"/>
      <x:c r="E8" s="71" t="str">
        <x:v>revisar</x:v>
      </x:c>
      <x:c r="F8" s="85"/>
    </x:row>
  </x:sheetData>
  <x:pageMargins left="0.7" right="0.7" top="0.75" bottom="0.75" header="0.3" footer="0.3"/>
  <x:tableParts count="1">
    <x:tablePart xmlns:r="http://schemas.openxmlformats.org/officeDocument/2006/relationships" r:id="Rd4135fa1325742b0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8.5" hidden="0" customWidth="1"/>
    <x:col min="2" max="2" width="12.75" hidden="0" customWidth="1"/>
    <x:col min="3" max="3" width="15.130000114440918" hidden="0" customWidth="1"/>
    <x:col min="4" max="4" width="9.130000114440918" hidden="0" customWidth="1"/>
    <x:col min="5" max="5" width="8.380000114440918" hidden="0" customWidth="1"/>
  </x:cols>
  <x:sheetData>
    <x:row r="1">
      <x:c r="A1" s="65" t="str">
        <x:v>ID_Cliente</x:v>
      </x:c>
      <x:c r="B1" s="66" t="str">
        <x:v>Cadena</x:v>
      </x:c>
      <x:c r="C1" s="66" t="str">
        <x:v>Segmento</x:v>
      </x:c>
      <x:c r="D1" s="66" t="str">
        <x:v>Plazo_Pago</x:v>
      </x:c>
      <x:c r="E1" s="67" t="str">
        <x:v>Condicion</x:v>
      </x:c>
    </x:row>
    <x:row r="2">
      <x:c r="A2" s="54" t="str">
        <x:v>CL-CEN</x:v>
      </x:c>
      <x:c r="B2" s="45" t="str">
        <x:v>Cencosud</x:v>
      </x:c>
      <x:c r="C2" s="45" t="str">
        <x:v>Retail Moderno</x:v>
      </x:c>
      <x:c r="D2" s="72" t="n">
        <x:v>30</x:v>
      </x:c>
      <x:c r="E2" s="55" t="str">
        <x:v>Credito</x:v>
      </x:c>
    </x:row>
    <x:row r="3">
      <x:c r="A3" s="54" t="str">
        <x:v>CL-DEL</x:v>
      </x:c>
      <x:c r="B3" s="45" t="str">
        <x:v>Dellanatura</x:v>
      </x:c>
      <x:c r="C3" s="45" t="str">
        <x:v>Canal Especializado</x:v>
      </x:c>
      <x:c r="D3" s="72" t="n">
        <x:v>0</x:v>
      </x:c>
      <x:c r="E3" s="55" t="str">
        <x:v>Contado</x:v>
      </x:c>
    </x:row>
    <x:row r="4">
      <x:c r="A4" s="54" t="str">
        <x:v>CL-ALN</x:v>
      </x:c>
      <x:c r="B4" s="45" t="str">
        <x:v>All Nutrition</x:v>
      </x:c>
      <x:c r="C4" s="45" t="str">
        <x:v>Canal Especializado</x:v>
      </x:c>
      <x:c r="D4" s="72" t="n">
        <x:v>0</x:v>
      </x:c>
      <x:c r="E4" s="55" t="str">
        <x:v>Contado</x:v>
      </x:c>
    </x:row>
    <x:row r="5">
      <x:c r="A5" s="54" t="str">
        <x:v>CL-CORG</x:v>
      </x:c>
      <x:c r="B5" s="45" t="str">
        <x:v>Central Organica</x:v>
      </x:c>
      <x:c r="C5" s="45" t="str">
        <x:v>Canal Especializado</x:v>
      </x:c>
      <x:c r="D5" s="72" t="n">
        <x:v>0</x:v>
      </x:c>
      <x:c r="E5" s="55" t="str">
        <x:v>Contado</x:v>
      </x:c>
    </x:row>
    <x:row r="6">
      <x:c r="A6" s="54" t="str">
        <x:v>CL-FORK</x:v>
      </x:c>
      <x:c r="B6" s="45" t="str">
        <x:v>Fork</x:v>
      </x:c>
      <x:c r="C6" s="45" t="str">
        <x:v>Canal Conveniencia</x:v>
      </x:c>
      <x:c r="D6" s="72" t="n">
        <x:v>0</x:v>
      </x:c>
      <x:c r="E6" s="55" t="str">
        <x:v>Contado</x:v>
      </x:c>
    </x:row>
    <x:row r="7">
      <x:c r="A7" s="54" t="str">
        <x:v>CL-PIR</x:v>
      </x:c>
      <x:c r="B7" s="45" t="str">
        <x:v>Pirque CDV</x:v>
      </x:c>
      <x:c r="C7" s="45" t="str">
        <x:v>Canal Turistico</x:v>
      </x:c>
      <x:c r="D7" s="72" t="n">
        <x:v>0</x:v>
      </x:c>
      <x:c r="E7" s="55" t="str">
        <x:v>Contado</x:v>
      </x:c>
    </x:row>
    <x:row r="8">
      <x:c r="A8" s="56" t="str">
        <x:v>CL-RITZ</x:v>
      </x:c>
      <x:c r="B8" s="57" t="str">
        <x:v>Ritz-Carlton</x:v>
      </x:c>
      <x:c r="C8" s="57" t="str">
        <x:v>HoReCa</x:v>
      </x:c>
      <x:c r="D8" s="73" t="n">
        <x:v>0</x:v>
      </x:c>
      <x:c r="E8" s="58" t="str">
        <x:v>Contado</x:v>
      </x:c>
    </x:row>
  </x:sheetData>
  <x:pageMargins left="0.7" right="0.7" top="0.75" bottom="0.75" header="0.3" footer="0.3"/>
  <x:tableParts count="1">
    <x:tablePart xmlns:r="http://schemas.openxmlformats.org/officeDocument/2006/relationships" r:id="R5495fe76aa4047e0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9.630000114440918" hidden="0" customWidth="1"/>
    <x:col min="3" max="3" width="9.630000114440918" hidden="0" customWidth="1"/>
    <x:col min="4" max="4" width="8.380000114440918" hidden="0" customWidth="1"/>
    <x:col min="5" max="5" width="9.25" hidden="0" customWidth="1"/>
    <x:col min="6" max="6" width="4.130000114440918" hidden="0" customWidth="1"/>
    <x:col min="7" max="7" width="9.380000114440918" hidden="0" customWidth="1"/>
    <x:col min="8" max="8" width="13.25" hidden="0" customWidth="1"/>
    <x:col min="9" max="9" width="6.130000114440918" hidden="0" customWidth="1"/>
    <x:col min="10" max="10" width="12.380000114440918" hidden="0" customWidth="1"/>
    <x:col min="11" max="11" width="9.75" hidden="0" customWidth="1"/>
    <x:col min="12" max="12" width="9.630000114440918" hidden="0" customWidth="1"/>
    <x:col min="13" max="13" width="13.630000114440918" hidden="0" customWidth="1"/>
  </x:cols>
  <x:sheetData>
    <x:row r="1">
      <x:c r="A1" s="65" t="str">
        <x:v>ID_Venta</x:v>
      </x:c>
      <x:c r="B1" s="66" t="str">
        <x:v>Fecha</x:v>
      </x:c>
      <x:c r="C1" s="66" t="str">
        <x:v>ID_Cliente</x:v>
      </x:c>
      <x:c r="D1" s="66" t="str">
        <x:v>ID_PDV</x:v>
      </x:c>
      <x:c r="E1" s="66" t="str">
        <x:v>SKU</x:v>
      </x:c>
      <x:c r="F1" s="66" t="str">
        <x:v>Uds</x:v>
      </x:c>
      <x:c r="G1" s="66" t="str">
        <x:v>Venta_Neta</x:v>
      </x:c>
      <x:c r="H1" s="66" t="str">
        <x:v>Costo_Total</x:v>
      </x:c>
      <x:c r="I1" s="66" t="str">
        <x:v>Margen</x:v>
      </x:c>
      <x:c r="J1" s="66" t="str">
        <x:v>Estado_Factura</x:v>
      </x:c>
      <x:c r="K1" s="66" t="str">
        <x:v>Fecha_Venc</x:v>
      </x:c>
      <x:c r="L1" s="66" t="str">
        <x:v>Fecha_Pago</x:v>
      </x:c>
      <x:c r="M1" s="67" t="str">
        <x:v>precio cotizacion</x:v>
      </x:c>
    </x:row>
    <x:row r="2">
      <x:c r="A2" s="80" t="n">
        <x:v>1</x:v>
      </x:c>
      <x:c r="B2" s="72" t="n">
        <x:v>46027</x:v>
      </x:c>
      <x:c r="C2" s="45" t="str">
        <x:v>CL-DEL</x:v>
      </x:c>
      <x:c r="D2" s="45" t="str">
        <x:v>D001</x:v>
      </x:c>
      <x:c r="E2" s="45" t="str">
        <x:v>SKU-CAC-U</x:v>
      </x:c>
      <x:c r="F2" s="68" t="n">
        <x:v>1000</x:v>
      </x:c>
      <x:c r="G2" s="70" t="n">
        <x:v>19160</x:v>
      </x:c>
      <x:c r="H2" s="70" t="n">
        <x:v>3000</x:v>
      </x:c>
      <x:c r="I2" s="70" t="n">
        <x:v>16160</x:v>
      </x:c>
      <x:c r="J2" s="72" t="str">
        <x:v>Pagada</x:v>
      </x:c>
      <x:c r="K2" s="72" t="n">
        <x:v>46057</x:v>
      </x:c>
      <x:c r="L2" s="72" t="n">
        <x:v>46057</x:v>
      </x:c>
      <x:c r="M2" s="84"/>
    </x:row>
    <x:row r="3">
      <x:c r="A3" s="80" t="n">
        <x:v>2</x:v>
      </x:c>
      <x:c r="B3" s="72" t="n">
        <x:v>46028</x:v>
      </x:c>
      <x:c r="C3" s="45" t="str">
        <x:v>CL-DEL</x:v>
      </x:c>
      <x:c r="D3" s="45" t="str">
        <x:v>D002</x:v>
      </x:c>
      <x:c r="E3" s="45" t="str">
        <x:v>SKU-MAN-U</x:v>
      </x:c>
      <x:c r="F3" s="68" t="n">
        <x:v>8</x:v>
      </x:c>
      <x:c r="G3" s="70" t="n">
        <x:v>12773</x:v>
      </x:c>
      <x:c r="H3" s="70" t="n">
        <x:v>2000</x:v>
      </x:c>
      <x:c r="I3" s="70" t="n">
        <x:v>10773</x:v>
      </x:c>
      <x:c r="J3" s="72" t="str">
        <x:v>Pagada</x:v>
      </x:c>
      <x:c r="K3" s="72" t="n">
        <x:v>46058</x:v>
      </x:c>
      <x:c r="L3" s="72" t="n">
        <x:v>46058</x:v>
      </x:c>
      <x:c r="M3" s="84"/>
    </x:row>
    <x:row r="4">
      <x:c r="A4" s="80" t="n">
        <x:v>3</x:v>
      </x:c>
      <x:c r="B4" s="72" t="n">
        <x:v>46029</x:v>
      </x:c>
      <x:c r="C4" s="45" t="str">
        <x:v>CL-ALN</x:v>
      </x:c>
      <x:c r="D4" s="45" t="str">
        <x:v>AN01</x:v>
      </x:c>
      <x:c r="E4" s="45" t="str">
        <x:v>SKU-FRU-U</x:v>
      </x:c>
      <x:c r="F4" s="68" t="n">
        <x:v>9</x:v>
      </x:c>
      <x:c r="G4" s="70" t="n">
        <x:v>14370</x:v>
      </x:c>
      <x:c r="H4" s="70" t="n">
        <x:v>2250</x:v>
      </x:c>
      <x:c r="I4" s="70" t="n">
        <x:v>12120</x:v>
      </x:c>
      <x:c r="J4" s="72" t="str">
        <x:v>Emitida</x:v>
      </x:c>
      <x:c r="K4" s="72" t="n">
        <x:v>46059</x:v>
      </x:c>
      <x:c r="L4" s="72"/>
      <x:c r="M4" s="84"/>
    </x:row>
    <x:row r="5">
      <x:c r="A5" s="80" t="n">
        <x:v>4</x:v>
      </x:c>
      <x:c r="B5" s="72" t="n">
        <x:v>46031</x:v>
      </x:c>
      <x:c r="C5" s="45" t="str">
        <x:v>CL-PIR</x:v>
      </x:c>
      <x:c r="D5" s="45" t="str">
        <x:v>P001</x:v>
      </x:c>
      <x:c r="E5" s="45" t="str">
        <x:v>SKU-CAC-4</x:v>
      </x:c>
      <x:c r="F5" s="68" t="n">
        <x:v>5</x:v>
      </x:c>
      <x:c r="G5" s="70" t="n">
        <x:v>24790</x:v>
      </x:c>
      <x:c r="H5" s="70" t="n">
        <x:v>5000</x:v>
      </x:c>
      <x:c r="I5" s="70" t="n">
        <x:v>19790</x:v>
      </x:c>
      <x:c r="J5" s="72" t="str">
        <x:v>Pagada</x:v>
      </x:c>
      <x:c r="K5" s="72" t="n">
        <x:v>46061</x:v>
      </x:c>
      <x:c r="L5" s="72" t="n">
        <x:v>46061</x:v>
      </x:c>
      <x:c r="M5" s="84"/>
    </x:row>
    <x:row r="6">
      <x:c r="A6" s="80" t="n">
        <x:v>5</x:v>
      </x:c>
      <x:c r="B6" s="72" t="n">
        <x:v>46034</x:v>
      </x:c>
      <x:c r="C6" s="45" t="str">
        <x:v>CL-RITZ</x:v>
      </x:c>
      <x:c r="D6" s="45" t="str">
        <x:v>H001</x:v>
      </x:c>
      <x:c r="E6" s="45" t="str">
        <x:v>SKU-MAN-4</x:v>
      </x:c>
      <x:c r="F6" s="68" t="n">
        <x:v>8</x:v>
      </x:c>
      <x:c r="G6" s="70" t="n">
        <x:v>39664</x:v>
      </x:c>
      <x:c r="H6" s="70" t="n">
        <x:v>8000</x:v>
      </x:c>
      <x:c r="I6" s="70" t="n">
        <x:v>31664</x:v>
      </x:c>
      <x:c r="J6" s="72" t="str">
        <x:v>Emitida</x:v>
      </x:c>
      <x:c r="K6" s="72" t="n">
        <x:v>46064</x:v>
      </x:c>
      <x:c r="L6" s="72"/>
      <x:c r="M6" s="84"/>
    </x:row>
    <x:row r="7">
      <x:c r="A7" s="80" t="n">
        <x:v>6</x:v>
      </x:c>
      <x:c r="B7" s="72" t="n">
        <x:v>46035</x:v>
      </x:c>
      <x:c r="C7" s="45" t="str">
        <x:v>CL-CEN</x:v>
      </x:c>
      <x:c r="D7" s="45" t="str">
        <x:v>J001</x:v>
      </x:c>
      <x:c r="E7" s="45" t="str">
        <x:v>SKU-FRU-4</x:v>
      </x:c>
      <x:c r="F7" s="68" t="n">
        <x:v>50</x:v>
      </x:c>
      <x:c r="G7" s="70" t="n">
        <x:v>247899</x:v>
      </x:c>
      <x:c r="H7" s="70" t="n">
        <x:v>50000</x:v>
      </x:c>
      <x:c r="I7" s="70" t="n">
        <x:v>197899</x:v>
      </x:c>
      <x:c r="J7" s="72" t="str">
        <x:v>Emitida</x:v>
      </x:c>
      <x:c r="K7" s="72" t="n">
        <x:v>46065</x:v>
      </x:c>
      <x:c r="L7" s="72"/>
      <x:c r="M7" s="84"/>
    </x:row>
    <x:row r="8">
      <x:c r="A8" s="80"/>
      <x:c r="B8" s="72"/>
      <x:c r="C8" s="45"/>
      <x:c r="D8" s="45"/>
      <x:c r="E8" s="45"/>
      <x:c r="F8" s="68"/>
      <x:c r="G8" s="70"/>
      <x:c r="H8" s="70"/>
      <x:c r="I8" s="70"/>
      <x:c r="J8" s="72"/>
      <x:c r="K8" s="72"/>
      <x:c r="L8" s="72"/>
      <x:c r="M8" s="84"/>
    </x:row>
    <x:row r="9">
      <x:c r="A9" s="80" t="str">
        <x:v>Vista equipo</x:v>
      </x:c>
      <x:c r="B9" s="72"/>
      <x:c r="C9" s="45"/>
      <x:c r="D9" s="45"/>
      <x:c r="E9" s="45"/>
      <x:c r="F9" s="68"/>
      <x:c r="G9" s="70"/>
      <x:c r="H9" s="70"/>
      <x:c r="I9" s="70"/>
      <x:c r="J9" s="72"/>
      <x:c r="K9" s="72"/>
      <x:c r="L9" s="72"/>
      <x:c r="M9" s="84"/>
    </x:row>
    <x:row r="10">
      <x:c r="A10" s="80" t="str">
        <x:v>agregar form</x:v>
      </x:c>
      <x:c r="B10" s="72"/>
      <x:c r="C10" s="45"/>
      <x:c r="D10" s="45"/>
      <x:c r="E10" s="45"/>
      <x:c r="F10" s="68"/>
      <x:c r="G10" s="70"/>
      <x:c r="H10" s="70"/>
      <x:c r="I10" s="70"/>
      <x:c r="J10" s="72"/>
      <x:c r="K10" s="72"/>
      <x:c r="L10" s="72"/>
      <x:c r="M10" s="84"/>
    </x:row>
    <x:row r="11">
      <x:c r="A11" s="80"/>
      <x:c r="B11" s="72"/>
      <x:c r="C11" s="45"/>
      <x:c r="D11" s="45"/>
      <x:c r="E11" s="45"/>
      <x:c r="F11" s="68"/>
      <x:c r="G11" s="70"/>
      <x:c r="H11" s="70"/>
      <x:c r="I11" s="70"/>
      <x:c r="J11" s="72"/>
      <x:c r="K11" s="72"/>
      <x:c r="L11" s="72"/>
      <x:c r="M11" s="84"/>
    </x:row>
    <x:row r="12">
      <x:c r="A12" s="80"/>
      <x:c r="B12" s="72"/>
      <x:c r="C12" s="45"/>
      <x:c r="D12" s="45"/>
      <x:c r="E12" s="45"/>
      <x:c r="F12" s="68"/>
      <x:c r="G12" s="70"/>
      <x:c r="H12" s="70"/>
      <x:c r="I12" s="70"/>
      <x:c r="J12" s="72"/>
      <x:c r="K12" s="72"/>
      <x:c r="L12" s="72"/>
      <x:c r="M12" s="84"/>
    </x:row>
    <x:row r="13">
      <x:c r="A13" s="80" t="str">
        <x:v>Cobertura</x:v>
      </x:c>
      <x:c r="B13" s="72"/>
      <x:c r="C13" s="45" t="str">
        <x:v>Periodicidad</x:v>
      </x:c>
      <x:c r="D13" s="45" t="str">
        <x:v>Status</x:v>
      </x:c>
      <x:c r="E13" s="45" t="str">
        <x:v>Cobertura</x:v>
      </x:c>
      <x:c r="F13" s="68"/>
      <x:c r="G13" s="70"/>
      <x:c r="H13" s="70" t="str">
        <x:v>plan de ejecucion</x:v>
      </x:c>
      <x:c r="I13" s="70"/>
      <x:c r="J13" s="72" t="str">
        <x:v>ver zona</x:v>
      </x:c>
      <x:c r="K13" s="72"/>
      <x:c r="L13" s="72"/>
      <x:c r="M13" s="84"/>
    </x:row>
    <x:row r="14">
      <x:c r="A14" s="80" t="n">
        <x:v>1</x:v>
      </x:c>
      <x:c r="B14" s="72" t="str">
        <x:v>Aldea Nativa</x:v>
      </x:c>
      <x:c r="C14" s="45" t="str">
        <x:v>semanal</x:v>
      </x:c>
      <x:c r="D14" s="45" t="str">
        <x:v>no visitado</x:v>
      </x:c>
      <x:c r="E14" s="45"/>
      <x:c r="F14" s="68"/>
      <x:c r="G14" s="70"/>
      <x:c r="H14" s="70"/>
      <x:c r="I14" s="70"/>
      <x:c r="J14" s="72"/>
      <x:c r="K14" s="72"/>
      <x:c r="L14" s="72"/>
      <x:c r="M14" s="84"/>
    </x:row>
    <x:row r="15">
      <x:c r="A15" s="80" t="n">
        <x:v>1</x:v>
      </x:c>
      <x:c r="B15" s="72" t="str">
        <x:v>b</x:v>
      </x:c>
      <x:c r="C15" s="45" t="str">
        <x:v>semanal</x:v>
      </x:c>
      <x:c r="D15" s="45" t="str">
        <x:v>no visitado</x:v>
      </x:c>
      <x:c r="E15" s="45"/>
      <x:c r="F15" s="68"/>
      <x:c r="G15" s="70"/>
      <x:c r="H15" s="70"/>
      <x:c r="I15" s="70"/>
      <x:c r="J15" s="72"/>
      <x:c r="K15" s="72"/>
      <x:c r="L15" s="72"/>
      <x:c r="M15" s="84"/>
    </x:row>
    <x:row r="16">
      <x:c r="A16" s="80" t="n">
        <x:v>1</x:v>
      </x:c>
      <x:c r="B16" s="72" t="str">
        <x:v>c</x:v>
      </x:c>
      <x:c r="C16" s="45" t="str">
        <x:v>Mensual</x:v>
      </x:c>
      <x:c r="D16" s="45" t="str">
        <x:v>no visitado</x:v>
      </x:c>
      <x:c r="E16" s="45"/>
      <x:c r="F16" s="68"/>
      <x:c r="G16" s="70"/>
      <x:c r="H16" s="70"/>
      <x:c r="I16" s="70"/>
      <x:c r="J16" s="72"/>
      <x:c r="K16" s="72"/>
      <x:c r="L16" s="72"/>
      <x:c r="M16" s="84"/>
    </x:row>
    <x:row r="17">
      <x:c r="A17" s="80" t="n">
        <x:v>1</x:v>
      </x:c>
      <x:c r="B17" s="72" t="str">
        <x:v>d</x:v>
      </x:c>
      <x:c r="C17" s="45" t="str">
        <x:v>semanal</x:v>
      </x:c>
      <x:c r="D17" s="45" t="str">
        <x:v>no visitado</x:v>
      </x:c>
      <x:c r="E17" s="45"/>
      <x:c r="F17" s="68"/>
      <x:c r="G17" s="70"/>
      <x:c r="H17" s="70"/>
      <x:c r="I17" s="70"/>
      <x:c r="J17" s="72"/>
      <x:c r="K17" s="72"/>
      <x:c r="L17" s="72"/>
      <x:c r="M17" s="84"/>
    </x:row>
    <x:row r="18">
      <x:c r="A18" s="80" t="n">
        <x:v>1</x:v>
      </x:c>
      <x:c r="B18" s="72" t="str">
        <x:v>e</x:v>
      </x:c>
      <x:c r="C18" s="45" t="str">
        <x:v>semanal</x:v>
      </x:c>
      <x:c r="D18" s="45" t="str">
        <x:v>no visitado</x:v>
      </x:c>
      <x:c r="E18" s="45"/>
      <x:c r="F18" s="68"/>
      <x:c r="G18" s="70"/>
      <x:c r="H18" s="70"/>
      <x:c r="I18" s="70"/>
      <x:c r="J18" s="72"/>
      <x:c r="K18" s="72"/>
      <x:c r="L18" s="72"/>
      <x:c r="M18" s="84"/>
    </x:row>
    <x:row r="19">
      <x:c r="A19" s="80" t="n">
        <x:v>1</x:v>
      </x:c>
      <x:c r="B19" s="72" t="str">
        <x:v>f</x:v>
      </x:c>
      <x:c r="C19" s="45" t="str">
        <x:v>semanal</x:v>
      </x:c>
      <x:c r="D19" s="45" t="str">
        <x:v>no visitado</x:v>
      </x:c>
      <x:c r="E19" s="45"/>
      <x:c r="F19" s="68"/>
      <x:c r="G19" s="70"/>
      <x:c r="H19" s="70"/>
      <x:c r="I19" s="70"/>
      <x:c r="J19" s="72"/>
      <x:c r="K19" s="72"/>
      <x:c r="L19" s="72"/>
      <x:c r="M19" s="84"/>
    </x:row>
    <x:row r="20">
      <x:c r="A20" s="80" t="n">
        <x:v>1</x:v>
      </x:c>
      <x:c r="B20" s="72" t="str">
        <x:v>g</x:v>
      </x:c>
      <x:c r="C20" s="45" t="str">
        <x:v>semanal</x:v>
      </x:c>
      <x:c r="D20" s="45" t="str">
        <x:v>no visitado</x:v>
      </x:c>
      <x:c r="E20" s="45"/>
      <x:c r="F20" s="68"/>
      <x:c r="G20" s="70"/>
      <x:c r="H20" s="70"/>
      <x:c r="I20" s="70"/>
      <x:c r="J20" s="72"/>
      <x:c r="K20" s="72"/>
      <x:c r="L20" s="72"/>
      <x:c r="M20" s="84"/>
    </x:row>
    <x:row r="21">
      <x:c r="A21" s="80" t="n">
        <x:v>1</x:v>
      </x:c>
      <x:c r="B21" s="72" t="str">
        <x:v>h</x:v>
      </x:c>
      <x:c r="C21" s="45" t="str">
        <x:v>semanal</x:v>
      </x:c>
      <x:c r="D21" s="45" t="str">
        <x:v>no visitado</x:v>
      </x:c>
      <x:c r="E21" s="45"/>
      <x:c r="F21" s="68"/>
      <x:c r="G21" s="70"/>
      <x:c r="H21" s="70"/>
      <x:c r="I21" s="70"/>
      <x:c r="J21" s="72"/>
      <x:c r="K21" s="72"/>
      <x:c r="L21" s="72"/>
      <x:c r="M21" s="84"/>
    </x:row>
    <x:row r="22">
      <x:c r="A22" s="80" t="n">
        <x:v>1</x:v>
      </x:c>
      <x:c r="B22" s="72" t="str">
        <x:v>i</x:v>
      </x:c>
      <x:c r="C22" s="45" t="str">
        <x:v>semanal</x:v>
      </x:c>
      <x:c r="D22" s="45" t="str">
        <x:v>no visitado</x:v>
      </x:c>
      <x:c r="E22" s="45"/>
      <x:c r="F22" s="68"/>
      <x:c r="G22" s="70"/>
      <x:c r="H22" s="70"/>
      <x:c r="I22" s="70"/>
      <x:c r="J22" s="72"/>
      <x:c r="K22" s="72"/>
      <x:c r="L22" s="72"/>
      <x:c r="M22" s="84"/>
    </x:row>
    <x:row r="23">
      <x:c r="A23" s="80" t="n">
        <x:v>1</x:v>
      </x:c>
      <x:c r="B23" s="72" t="str">
        <x:v>j</x:v>
      </x:c>
      <x:c r="C23" s="45" t="str">
        <x:v>semanal</x:v>
      </x:c>
      <x:c r="D23" s="45" t="str">
        <x:v>no visitado</x:v>
      </x:c>
      <x:c r="E23" s="45"/>
      <x:c r="F23" s="68"/>
      <x:c r="G23" s="70"/>
      <x:c r="H23" s="70"/>
      <x:c r="I23" s="70"/>
      <x:c r="J23" s="72"/>
      <x:c r="K23" s="72"/>
      <x:c r="L23" s="72"/>
      <x:c r="M23" s="84"/>
    </x:row>
    <x:row r="24">
      <x:c r="A24" s="81" t="n">
        <x:v>45</x:v>
      </x:c>
      <x:c r="B24" s="73"/>
      <x:c r="C24" s="57"/>
      <x:c r="D24" s="57"/>
      <x:c r="E24" s="57"/>
      <x:c r="F24" s="69"/>
      <x:c r="G24" s="71"/>
      <x:c r="H24" s="71"/>
      <x:c r="I24" s="71"/>
      <x:c r="J24" s="73"/>
      <x:c r="K24" s="73"/>
      <x:c r="L24" s="73"/>
      <x:c r="M24" s="85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10.25" hidden="0" customWidth="1"/>
    <x:col min="3" max="3" width="8.5" hidden="0" customWidth="1"/>
    <x:col min="4" max="4" width="6.130000114440918" hidden="0" customWidth="1"/>
    <x:col min="5" max="5" width="9.25" hidden="0" customWidth="1"/>
    <x:col min="6" max="6" width="11.380000114440918" hidden="0" customWidth="1"/>
    <x:col min="7" max="7" width="9.130000114440918" hidden="0" customWidth="1"/>
    <x:col min="8" max="8" width="12.5" hidden="0" customWidth="1"/>
    <x:col min="9" max="9" width="13.880000114440918" hidden="0" customWidth="1"/>
    <x:col min="10" max="10" width="9.25" hidden="0" customWidth="1"/>
    <x:col min="11" max="11" width="13" hidden="0" customWidth="1"/>
  </x:cols>
  <x:sheetData>
    <x:row r="1">
      <x:c r="A1" s="65" t="str">
        <x:v>Fecha</x:v>
      </x:c>
      <x:c r="B1" s="66" t="str">
        <x:v>Semana_ISO</x:v>
      </x:c>
      <x:c r="C1" s="66" t="str">
        <x:v>ID_Cliente</x:v>
      </x:c>
      <x:c r="D1" s="66" t="str">
        <x:v>ID_PDV</x:v>
      </x:c>
      <x:c r="E1" s="66" t="str">
        <x:v>SKU</x:v>
      </x:c>
      <x:c r="F1" s="66" t="str">
        <x:v>Uds_Vendidas</x:v>
      </x:c>
      <x:c r="G1" s="66" t="str">
        <x:v>PVP_Salida</x:v>
      </x:c>
      <x:c r="H1" s="66" t="str">
        <x:v>Fuente</x:v>
      </x:c>
      <x:c r="I1" s="66" t="str">
        <x:v>Stock_Observado</x:v>
      </x:c>
      <x:c r="J1" s="66" t="str">
        <x:v>Resp</x:v>
      </x:c>
      <x:c r="K1" s="67" t="str">
        <x:v>Notas</x:v>
      </x:c>
    </x:row>
    <x:row r="2">
      <x:c r="A2" s="78" t="n">
        <x:v>46037</x:v>
      </x:c>
      <x:c r="B2" s="68" t="n">
        <x:v>3</x:v>
      </x:c>
      <x:c r="C2" s="45" t="str">
        <x:v>CL-DEL</x:v>
      </x:c>
      <x:c r="D2" s="45" t="str">
        <x:v>D001</x:v>
      </x:c>
      <x:c r="E2" s="45" t="str">
        <x:v>SKU-CAC-U</x:v>
      </x:c>
      <x:c r="F2" s="68" t="n">
        <x:v>10</x:v>
      </x:c>
      <x:c r="G2" s="70" t="n">
        <x:v>1900</x:v>
      </x:c>
      <x:c r="H2" s="45" t="str">
        <x:v>Reporte Cliente</x:v>
      </x:c>
      <x:c r="I2" s="72" t="n">
        <x:v>5</x:v>
      </x:c>
      <x:c r="J2" s="45" t="str">
        <x:v>Ana Barra</x:v>
      </x:c>
      <x:c r="K2" s="55" t="str">
        <x:v>migrado borrador</x:v>
      </x:c>
    </x:row>
    <x:row r="3">
      <x:c r="A3" s="78" t="n">
        <x:v>46037</x:v>
      </x:c>
      <x:c r="B3" s="68" t="n">
        <x:v>3</x:v>
      </x:c>
      <x:c r="C3" s="45" t="str">
        <x:v>CL-DEL</x:v>
      </x:c>
      <x:c r="D3" s="45" t="str">
        <x:v>D002</x:v>
      </x:c>
      <x:c r="E3" s="45" t="str">
        <x:v>SKU-MAN-U</x:v>
      </x:c>
      <x:c r="F3" s="68" t="n">
        <x:v>6</x:v>
      </x:c>
      <x:c r="G3" s="70" t="n">
        <x:v>1900</x:v>
      </x:c>
      <x:c r="H3" s="45" t="str">
        <x:v>Reporte Cliente</x:v>
      </x:c>
      <x:c r="I3" s="72" t="n">
        <x:v>4</x:v>
      </x:c>
      <x:c r="J3" s="45" t="str">
        <x:v>Ana Barra</x:v>
      </x:c>
      <x:c r="K3" s="55" t="str">
        <x:v>migrado borrador</x:v>
      </x:c>
    </x:row>
    <x:row r="4">
      <x:c r="A4" s="78" t="n">
        <x:v>46037</x:v>
      </x:c>
      <x:c r="B4" s="68" t="n">
        <x:v>3</x:v>
      </x:c>
      <x:c r="C4" s="45" t="str">
        <x:v>CL-PIR</x:v>
      </x:c>
      <x:c r="D4" s="45" t="str">
        <x:v>P001</x:v>
      </x:c>
      <x:c r="E4" s="45" t="str">
        <x:v>SKU-CAC-4</x:v>
      </x:c>
      <x:c r="F4" s="68" t="n">
        <x:v>4</x:v>
      </x:c>
      <x:c r="G4" s="70" t="n">
        <x:v>5900</x:v>
      </x:c>
      <x:c r="H4" s="45" t="str">
        <x:v>Conteo Visita</x:v>
      </x:c>
      <x:c r="I4" s="72" t="n">
        <x:v>1</x:v>
      </x:c>
      <x:c r="J4" s="45" t="str">
        <x:v>Jose Ignacio</x:v>
      </x:c>
      <x:c r="K4" s="55" t="str">
        <x:v>migrado borrador</x:v>
      </x:c>
    </x:row>
    <x:row r="5">
      <x:c r="A5" s="78" t="n">
        <x:v>46037</x:v>
      </x:c>
      <x:c r="B5" s="68" t="n">
        <x:v>3</x:v>
      </x:c>
      <x:c r="C5" s="45" t="str">
        <x:v>CL-RITZ</x:v>
      </x:c>
      <x:c r="D5" s="45" t="str">
        <x:v>H001</x:v>
      </x:c>
      <x:c r="E5" s="45" t="str">
        <x:v>SKU-MAN-4</x:v>
      </x:c>
      <x:c r="F5" s="68" t="n">
        <x:v>8</x:v>
      </x:c>
      <x:c r="G5" s="70" t="n">
        <x:v>5900</x:v>
      </x:c>
      <x:c r="H5" s="45" t="str">
        <x:v>Reporte Cliente</x:v>
      </x:c>
      <x:c r="I5" s="72" t="n">
        <x:v>0</x:v>
      </x:c>
      <x:c r="J5" s="45" t="str">
        <x:v>Jose Ignacio</x:v>
      </x:c>
      <x:c r="K5" s="55" t="str">
        <x:v>migrado borrador</x:v>
      </x:c>
    </x:row>
    <x:row r="6">
      <x:c r="A6" s="78" t="n">
        <x:v>46037</x:v>
      </x:c>
      <x:c r="B6" s="68" t="n">
        <x:v>3</x:v>
      </x:c>
      <x:c r="C6" s="45" t="str">
        <x:v>CL-CEN</x:v>
      </x:c>
      <x:c r="D6" s="45" t="str">
        <x:v>J001</x:v>
      </x:c>
      <x:c r="E6" s="45" t="str">
        <x:v>SKU-FRU-4</x:v>
      </x:c>
      <x:c r="F6" s="68" t="n">
        <x:v>5</x:v>
      </x:c>
      <x:c r="G6" s="70" t="n">
        <x:v>5900</x:v>
      </x:c>
      <x:c r="H6" s="45" t="str">
        <x:v>Portal Cencosud</x:v>
      </x:c>
      <x:c r="I6" s="72" t="n">
        <x:v>45</x:v>
      </x:c>
      <x:c r="J6" s="45" t="str">
        <x:v>Jose Ignacio</x:v>
      </x:c>
      <x:c r="K6" s="55" t="str">
        <x:v>migrado borrador</x:v>
      </x:c>
    </x:row>
    <x:row r="7">
      <x:c r="A7" s="79" t="n">
        <x:v>46242</x:v>
      </x:c>
      <x:c r="B7" s="69" t="n">
        <x:v>32</x:v>
      </x:c>
      <x:c r="C7" s="57" t="str">
        <x:v>CL-ALN</x:v>
      </x:c>
      <x:c r="D7" s="57" t="str">
        <x:v>AN01</x:v>
      </x:c>
      <x:c r="E7" s="57" t="str">
        <x:v>SKU-FRU-U</x:v>
      </x:c>
      <x:c r="F7" s="69" t="n">
        <x:v>7</x:v>
      </x:c>
      <x:c r="G7" s="71" t="n">
        <x:v>1900</x:v>
      </x:c>
      <x:c r="H7" s="57" t="str">
        <x:v>Conteo Visita</x:v>
      </x:c>
      <x:c r="I7" s="73" t="n">
        <x:v>3</x:v>
      </x:c>
      <x:c r="J7" s="57" t="str">
        <x:v>Jose Ignacio</x:v>
      </x:c>
      <x:c r="K7" s="58" t="str">
        <x:v>dummy demo</x:v>
      </x:c>
    </x:row>
  </x:sheetData>
  <x:pageMargins left="0.7" right="0.7" top="0.75" bottom="0.75" header="0.3" footer="0.3"/>
  <x:tableParts count="1">
    <x:tablePart xmlns:r="http://schemas.openxmlformats.org/officeDocument/2006/relationships" r:id="Rf257aa09b05e4d70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51.5" hidden="0" customWidth="1"/>
  </x:cols>
  <x:sheetData>
    <x:row r="1">
      <x:c r="A1" s="65" t="str">
        <x:v>RESUMEN SELL-OUT</x:v>
      </x:c>
      <x:c r="B1" s="67"/>
    </x:row>
    <x:row r="2">
      <x:c r="A2" s="54"/>
      <x:c r="B2" s="55"/>
    </x:row>
    <x:row r="3">
      <x:c r="A3" s="54" t="str">
        <x:v>Total Uds Sell-Out (manual)</x:v>
      </x:c>
      <x:c r="B3" s="55" t="n">
        <x:v>40</x:v>
      </x:c>
    </x:row>
    <x:row r="4">
      <x:c r="A4" s="54" t="str">
        <x:v>Registros manuales</x:v>
      </x:c>
      <x:c r="B4" s="55" t="n">
        <x:v>6</x:v>
      </x:c>
    </x:row>
    <x:row r="5">
      <x:c r="A5" s="56" t="str">
        <x:v>Nota</x:v>
      </x:c>
      <x:c r="B5" s="58" t="str">
        <x:v>Sell-out por PDV/mes y rotacion vs sell-in se cruzan en CONSOLIDADO.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6.130000114440918" hidden="0" customWidth="1"/>
    <x:col min="3" max="3" width="9.25" hidden="0" customWidth="1"/>
    <x:col min="4" max="4" width="11.380000114440918" hidden="0" customWidth="1"/>
    <x:col min="5" max="5" width="9.130000114440918" hidden="0" customWidth="1"/>
    <x:col min="6" max="6" width="11.75" hidden="0" customWidth="1"/>
  </x:cols>
  <x:sheetData>
    <x:row r="1">
      <x:c r="A1" s="65" t="str">
        <x:v>Fecha</x:v>
      </x:c>
      <x:c r="B1" s="66" t="str">
        <x:v>ID_PDV</x:v>
      </x:c>
      <x:c r="C1" s="66" t="str">
        <x:v>SKU</x:v>
      </x:c>
      <x:c r="D1" s="66" t="str">
        <x:v>Uds_Vendidas</x:v>
      </x:c>
      <x:c r="E1" s="66" t="str">
        <x:v>PVP_Salida</x:v>
      </x:c>
      <x:c r="F1" s="67" t="str">
        <x:v>Fuente</x:v>
      </x:c>
    </x:row>
    <x:row r="2">
      <x:c r="A2" s="78" t="n">
        <x:v>46244</x:v>
      </x:c>
      <x:c r="B2" s="45" t="str">
        <x:v>D001</x:v>
      </x:c>
      <x:c r="C2" s="45" t="str">
        <x:v>SKU-CAC-U</x:v>
      </x:c>
      <x:c r="D2" s="68" t="n">
        <x:v>4</x:v>
      </x:c>
      <x:c r="E2" s="70" t="n">
        <x:v>1900</x:v>
      </x:c>
      <x:c r="F2" s="55" t="str">
        <x:v>Reporte Cliente</x:v>
      </x:c>
    </x:row>
    <x:row r="3">
      <x:c r="A3" s="79" t="n">
        <x:v>46244</x:v>
      </x:c>
      <x:c r="B3" s="57" t="str">
        <x:v>D002</x:v>
      </x:c>
      <x:c r="C3" s="57" t="str">
        <x:v>SKU-MAN-U</x:v>
      </x:c>
      <x:c r="D3" s="69" t="n">
        <x:v>3</x:v>
      </x:c>
      <x:c r="E3" s="71" t="n">
        <x:v>1900</x:v>
      </x:c>
      <x:c r="F3" s="58" t="str">
        <x:v>Reporte Cliente</x:v>
      </x:c>
    </x:row>
  </x:sheetData>
  <x:pageMargins left="0.7" right="0.7" top="0.75" bottom="0.75" header="0.3" footer="0.3"/>
  <x:tableParts count="1">
    <x:tablePart xmlns:r="http://schemas.openxmlformats.org/officeDocument/2006/relationships" r:id="R56fbf0d837c64e19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6.130000114440918" hidden="0" customWidth="1"/>
    <x:col min="3" max="3" width="8.630000114440918" hidden="0" customWidth="1"/>
    <x:col min="4" max="4" width="11.380000114440918" hidden="0" customWidth="1"/>
    <x:col min="5" max="5" width="9.130000114440918" hidden="0" customWidth="1"/>
    <x:col min="6" max="6" width="12.5" hidden="0" customWidth="1"/>
  </x:cols>
  <x:sheetData>
    <x:row r="1">
      <x:c r="A1" s="65" t="str">
        <x:v>Fecha</x:v>
      </x:c>
      <x:c r="B1" s="66" t="str">
        <x:v>ID_PDV</x:v>
      </x:c>
      <x:c r="C1" s="66" t="str">
        <x:v>SKU</x:v>
      </x:c>
      <x:c r="D1" s="66" t="str">
        <x:v>Uds_Vendidas</x:v>
      </x:c>
      <x:c r="E1" s="66" t="str">
        <x:v>PVP_Salida</x:v>
      </x:c>
      <x:c r="F1" s="67" t="str">
        <x:v>Fuente</x:v>
      </x:c>
    </x:row>
    <x:row r="2">
      <x:c r="A2" s="78" t="n">
        <x:v>46246</x:v>
      </x:c>
      <x:c r="B2" s="45" t="str">
        <x:v>J001</x:v>
      </x:c>
      <x:c r="C2" s="45" t="str">
        <x:v>SKU-FRU-4</x:v>
      </x:c>
      <x:c r="D2" s="68" t="n">
        <x:v>5</x:v>
      </x:c>
      <x:c r="E2" s="70" t="n">
        <x:v>5900</x:v>
      </x:c>
      <x:c r="F2" s="55" t="str">
        <x:v>Portal Cencosud</x:v>
      </x:c>
    </x:row>
    <x:row r="3">
      <x:c r="A3" s="79" t="n">
        <x:v>46253</x:v>
      </x:c>
      <x:c r="B3" s="57" t="str">
        <x:v>J001</x:v>
      </x:c>
      <x:c r="C3" s="57" t="str">
        <x:v>SKU-FRU-4</x:v>
      </x:c>
      <x:c r="D3" s="69" t="n">
        <x:v>7</x:v>
      </x:c>
      <x:c r="E3" s="71" t="n">
        <x:v>5900</x:v>
      </x:c>
      <x:c r="F3" s="58" t="str">
        <x:v>Portal Cencosud</x:v>
      </x:c>
    </x:row>
  </x:sheetData>
  <x:pageMargins left="0.7" right="0.7" top="0.75" bottom="0.75" header="0.3" footer="0.3"/>
  <x:tableParts count="1">
    <x:tablePart xmlns:r="http://schemas.openxmlformats.org/officeDocument/2006/relationships" r:id="R664346a1d1c749aa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97.25" hidden="0" customWidth="1"/>
    <x:col min="2" max="2" width="5.880000114440918" hidden="0" customWidth="1"/>
    <x:col min="3" max="3" width="12.25" hidden="0" customWidth="1"/>
  </x:cols>
  <x:sheetData>
    <x:row r="1">
      <x:c r="A1" s="65" t="str">
        <x:v>DASHBOARD EJECUTIVO SEMANAL - NUVA OXI</x:v>
      </x:c>
      <x:c r="B1" s="66"/>
      <x:c r="C1" s="67"/>
    </x:row>
    <x:row r="2">
      <x:c r="A2" s="86"/>
      <x:c r="B2" s="45"/>
      <x:c r="C2" s="55"/>
    </x:row>
    <x:row r="3">
      <x:c r="A3" s="86" t="str">
        <x:v>KPI</x:v>
      </x:c>
      <x:c r="B3" s="45" t="str">
        <x:v>Valor</x:v>
      </x:c>
      <x:c r="C3" s="55"/>
    </x:row>
    <x:row r="4">
      <x:c r="A4" s="86" t="str">
        <x:v>Sell-in total (uds)</x:v>
      </x:c>
      <x:c r="B4" s="45" t="n">
        <x:v>92</x:v>
      </x:c>
      <x:c r="C4" s="55"/>
    </x:row>
    <x:row r="5">
      <x:c r="A5" s="86" t="str">
        <x:v>Venta neta total ($)</x:v>
      </x:c>
      <x:c r="B5" s="45" t="n">
        <x:v>358656</x:v>
      </x:c>
      <x:c r="C5" s="55"/>
    </x:row>
    <x:row r="6">
      <x:c r="A6" s="86" t="str">
        <x:v>Margen total ($)</x:v>
      </x:c>
      <x:c r="B6" s="45" t="n">
        <x:v>288406</x:v>
      </x:c>
      <x:c r="C6" s="55"/>
    </x:row>
    <x:row r="7">
      <x:c r="A7" s="86" t="str">
        <x:v>PDV activos</x:v>
      </x:c>
      <x:c r="B7" s="45" t="n">
        <x:v>22</x:v>
      </x:c>
      <x:c r="C7" s="55"/>
    </x:row>
    <x:row r="8">
      <x:c r="A8" s="86" t="str">
        <x:v>PDV totales</x:v>
      </x:c>
      <x:c r="B8" s="45" t="n">
        <x:v>23</x:v>
      </x:c>
      <x:c r="C8" s="55"/>
    </x:row>
    <x:row r="9">
      <x:c r="A9" s="86" t="str">
        <x:v>Visitas registradas</x:v>
      </x:c>
      <x:c r="B9" s="45" t="n">
        <x:v>3</x:v>
      </x:c>
      <x:c r="C9" s="55"/>
    </x:row>
    <x:row r="10">
      <x:c r="A10" s="86" t="str">
        <x:v>Decisiones abiertas</x:v>
      </x:c>
      <x:c r="B10" s="45" t="n">
        <x:v>6</x:v>
      </x:c>
      <x:c r="C10" s="55"/>
    </x:row>
    <x:row r="11">
      <x:c r="A11" s="86"/>
      <x:c r="B11" s="45"/>
      <x:c r="C11" s="55"/>
    </x:row>
    <x:row r="12">
      <x:c r="A12" s="86"/>
      <x:c r="B12" s="45"/>
      <x:c r="C12" s="55"/>
    </x:row>
    <x:row r="13">
      <x:c r="A13" s="86" t="str">
        <x:v>CxC AGING (facturas Emitidas)</x:v>
      </x:c>
      <x:c r="B13" s="45"/>
      <x:c r="C13" s="55"/>
    </x:row>
    <x:row r="14">
      <x:c r="A14" s="86" t="str">
        <x:v>Tramo</x:v>
      </x:c>
      <x:c r="B14" s="45" t="str">
        <x:v>Monto</x:v>
      </x:c>
      <x:c r="C14" s="55" t="str">
        <x:v>Accion</x:v>
      </x:c>
    </x:row>
    <x:row r="15">
      <x:c r="A15" s="86" t="str">
        <x:v>0-15 dias</x:v>
      </x:c>
      <x:c r="B15" s="45" t="n">
        <x:v>0</x:v>
      </x:c>
      <x:c r="C15" s="55" t="str">
        <x:v>Monitorear</x:v>
      </x:c>
    </x:row>
    <x:row r="16">
      <x:c r="A16" s="86" t="str">
        <x:v>16-30 dias</x:v>
      </x:c>
      <x:c r="B16" s="45" t="n">
        <x:v>0</x:v>
      </x:c>
      <x:c r="C16" s="55" t="str">
        <x:v>Confirmar buyer</x:v>
      </x:c>
    </x:row>
    <x:row r="17">
      <x:c r="A17" s="86" t="str">
        <x:v>31-60 dias</x:v>
      </x:c>
      <x:c r="B17" s="45" t="n">
        <x:v>0</x:v>
      </x:c>
      <x:c r="C17" s="55" t="str">
        <x:v>Contactar buyer</x:v>
      </x:c>
    </x:row>
    <x:row r="18">
      <x:c r="A18" s="86" t="str">
        <x:v>+60 dias</x:v>
      </x:c>
      <x:c r="B18" s="45" t="n">
        <x:v>0</x:v>
      </x:c>
      <x:c r="C18" s="55" t="str">
        <x:v>Escalar KAM</x:v>
      </x:c>
    </x:row>
    <x:row r="19">
      <x:c r="A19" s="86"/>
      <x:c r="B19" s="45"/>
      <x:c r="C19" s="55"/>
    </x:row>
    <x:row r="20">
      <x:c r="A20" s="86" t="str">
        <x:v>Nota: Dashboard con formulas SUMIFS/COUNTIF. El analisis cruzado (sell-in vs sell-out, forecast) vive en CONSOLIDADO (8 reporteria).</x:v>
      </x:c>
      <x:c r="B20" s="45"/>
      <x:c r="C20" s="55"/>
    </x:row>
    <x:row r="21">
      <x:c r="A21" s="86"/>
      <x:c r="B21" s="45"/>
      <x:c r="C21" s="55"/>
    </x:row>
    <x:row r="22">
      <x:c r="A22" s="87" t="str">
        <x:v>Ultima actualizacion: 2026-07-06 15:50</x:v>
      </x:c>
      <x:c r="B22" s="57"/>
      <x:c r="C22" s="58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1.75" hidden="0" customWidth="1"/>
    <x:col min="2" max="2" width="13" hidden="0" customWidth="1"/>
    <x:col min="3" max="3" width="20.5" hidden="0" customWidth="1"/>
    <x:col min="4" max="4" width="8" hidden="0" customWidth="1"/>
    <x:col min="5" max="5" width="9.380000114440918" hidden="0" customWidth="1"/>
    <x:col min="6" max="6" width="7.880000114440918" hidden="0" customWidth="1"/>
  </x:cols>
  <x:sheetData>
    <x:row r="1">
      <x:c r="A1" s="65" t="str">
        <x:v>CATALOGO POP</x:v>
      </x:c>
      <x:c r="B1" s="66"/>
      <x:c r="C1" s="66"/>
      <x:c r="D1" s="66"/>
      <x:c r="E1" s="66"/>
      <x:c r="F1" s="67"/>
    </x:row>
    <x:row r="2">
      <x:c r="A2" s="54" t="str">
        <x:v>Codigo</x:v>
      </x:c>
      <x:c r="B2" s="45" t="str">
        <x:v>Tipo</x:v>
      </x:c>
      <x:c r="C2" s="45" t="str">
        <x:v>Descripcion</x:v>
      </x:c>
      <x:c r="D2" s="45" t="str">
        <x:v>Costo_Ref</x:v>
      </x:c>
      <x:c r="E2" s="45" t="str">
        <x:v>Duracion</x:v>
      </x:c>
      <x:c r="F2" s="55"/>
    </x:row>
    <x:row r="3">
      <x:c r="A3" s="54" t="str">
        <x:v>POP-EXH</x:v>
      </x:c>
      <x:c r="B3" s="45" t="str">
        <x:v>Exhibidor piso</x:v>
      </x:c>
      <x:c r="C3" s="45" t="str">
        <x:v>Estructura display 60x40cm</x:v>
      </x:c>
      <x:c r="D3" s="45" t="n">
        <x:v>85000</x:v>
      </x:c>
      <x:c r="E3" s="45" t="str">
        <x:v>Permanente</x:v>
      </x:c>
      <x:c r="F3" s="55"/>
    </x:row>
    <x:row r="4">
      <x:c r="A4" s="54" t="str">
        <x:v>POP-STO</x:v>
      </x:c>
      <x:c r="B4" s="45" t="str">
        <x:v>Stopper gondola</x:v>
      </x:c>
      <x:c r="C4" s="45" t="str">
        <x:v>Senaletica lateral</x:v>
      </x:c>
      <x:c r="D4" s="45" t="n">
        <x:v>8500</x:v>
      </x:c>
      <x:c r="E4" s="45" t="str">
        <x:v>6 meses</x:v>
      </x:c>
      <x:c r="F4" s="55"/>
    </x:row>
    <x:row r="5">
      <x:c r="A5" s="54" t="str">
        <x:v>POP-CEN</x:v>
      </x:c>
      <x:c r="B5" s="45" t="str">
        <x:v>Cenefa</x:v>
      </x:c>
      <x:c r="C5" s="45" t="str">
        <x:v>Franja frontal gondola</x:v>
      </x:c>
      <x:c r="D5" s="45" t="n">
        <x:v>4500</x:v>
      </x:c>
      <x:c r="E5" s="45" t="str">
        <x:v>3 meses</x:v>
      </x:c>
      <x:c r="F5" s="55"/>
    </x:row>
    <x:row r="6">
      <x:c r="A6" s="54" t="str">
        <x:v>POP-CAR</x:v>
      </x:c>
      <x:c r="B6" s="45" t="str">
        <x:v>Cartel precio</x:v>
      </x:c>
      <x:c r="C6" s="45" t="str">
        <x:v>Tarjeta precio destacado</x:v>
      </x:c>
      <x:c r="D6" s="45" t="n">
        <x:v>1200</x:v>
      </x:c>
      <x:c r="E6" s="45" t="str">
        <x:v>3 meses</x:v>
      </x:c>
      <x:c r="F6" s="55"/>
    </x:row>
    <x:row r="7">
      <x:c r="A7" s="54" t="str">
        <x:v>POP-PRO</x:v>
      </x:c>
      <x:c r="B7" s="45" t="str">
        <x:v>Promotora (dia)</x:v>
      </x:c>
      <x:c r="C7" s="45" t="str">
        <x:v>Activacion promotora</x:v>
      </x:c>
      <x:c r="D7" s="45" t="n">
        <x:v>35000</x:v>
      </x:c>
      <x:c r="E7" s="45" t="str">
        <x:v>1 dia</x:v>
      </x:c>
      <x:c r="F7" s="55"/>
    </x:row>
    <x:row r="8">
      <x:c r="A8" s="54" t="str">
        <x:v>POP-DEG</x:v>
      </x:c>
      <x:c r="B8" s="45" t="str">
        <x:v>Degustacion</x:v>
      </x:c>
      <x:c r="C8" s="45" t="str">
        <x:v>Kit muestras + insumos</x:v>
      </x:c>
      <x:c r="D8" s="45" t="n">
        <x:v>25000</x:v>
      </x:c>
      <x:c r="E8" s="45" t="str">
        <x:v>1 dia</x:v>
      </x:c>
      <x:c r="F8" s="55"/>
    </x:row>
    <x:row r="9">
      <x:c r="A9" s="54" t="str">
        <x:v>POP-SEN</x:v>
      </x:c>
      <x:c r="B9" s="45" t="str">
        <x:v>Senaletica vitrina</x:v>
      </x:c>
      <x:c r="C9" s="45" t="str">
        <x:v>Vinilo adhesivo</x:v>
      </x:c>
      <x:c r="D9" s="45" t="n">
        <x:v>12000</x:v>
      </x:c>
      <x:c r="E9" s="45" t="str">
        <x:v>12 meses</x:v>
      </x:c>
      <x:c r="F9" s="55"/>
    </x:row>
    <x:row r="10">
      <x:c r="A10" s="54"/>
      <x:c r="B10" s="45"/>
      <x:c r="C10" s="45"/>
      <x:c r="D10" s="45"/>
      <x:c r="E10" s="45"/>
      <x:c r="F10" s="55"/>
    </x:row>
    <x:row r="11">
      <x:c r="A11" s="54" t="str">
        <x:v>REGISTRO DE ACTIVACIONES</x:v>
      </x:c>
      <x:c r="B11" s="45"/>
      <x:c r="C11" s="45"/>
      <x:c r="D11" s="45"/>
      <x:c r="E11" s="45"/>
      <x:c r="F11" s="55"/>
    </x:row>
    <x:row r="12">
      <x:c r="A12" s="54" t="str">
        <x:v>Fecha</x:v>
      </x:c>
      <x:c r="B12" s="45" t="str">
        <x:v>ID_PDV</x:v>
      </x:c>
      <x:c r="C12" s="45" t="str">
        <x:v>Codigo_POP</x:v>
      </x:c>
      <x:c r="D12" s="45" t="str">
        <x:v>Costo</x:v>
      </x:c>
      <x:c r="E12" s="45" t="str">
        <x:v>Resp</x:v>
      </x:c>
      <x:c r="F12" s="55" t="str">
        <x:v>Resultado</x:v>
      </x:c>
    </x:row>
    <x:row r="13">
      <x:c r="A13" s="54" t="n">
        <x:v>46239</x:v>
      </x:c>
      <x:c r="B13" s="45"/>
      <x:c r="C13" s="45"/>
      <x:c r="D13" s="45"/>
      <x:c r="E13" s="45"/>
      <x:c r="F13" s="55"/>
    </x:row>
    <x:row r="14">
      <x:c r="A14" s="54" t="n">
        <x:v>74</x:v>
      </x:c>
      <x:c r="B14" s="45" t="n">
        <x:v>48</x:v>
      </x:c>
      <x:c r="C14" s="45" t="n">
        <x:v>48</x:v>
      </x:c>
      <x:c r="D14" s="45" t="n">
        <x:v>49</x:v>
      </x:c>
      <x:c r="E14" s="45"/>
      <x:c r="F14" s="55"/>
    </x:row>
    <x:row r="15">
      <x:c r="A15" s="54" t="n">
        <x:v>80</x:v>
      </x:c>
      <x:c r="B15" s="45" t="n">
        <x:v>79</x:v>
      </x:c>
      <x:c r="C15" s="45" t="n">
        <x:v>80</x:v>
      </x:c>
      <x:c r="D15" s="45" t="n">
        <x:v>45</x:v>
      </x:c>
      <x:c r="E15" s="45" t="n">
        <x:v>68</x:v>
      </x:c>
      <x:c r="F15" s="55" t="n">
        <x:v>69</x:v>
      </x:c>
    </x:row>
    <x:row r="16">
      <x:c r="A16" s="54" t="n">
        <x:v>25000</x:v>
      </x:c>
      <x:c r="B16" s="45"/>
      <x:c r="C16" s="45"/>
      <x:c r="D16" s="45"/>
      <x:c r="E16" s="45"/>
      <x:c r="F16" s="55"/>
    </x:row>
    <x:row r="17">
      <x:c r="A17" s="54" t="n">
        <x:v>74</x:v>
      </x:c>
      <x:c r="B17" s="45" t="n">
        <x:v>111</x:v>
      </x:c>
      <x:c r="C17" s="45" t="n">
        <x:v>115</x:v>
      </x:c>
      <x:c r="D17" s="45" t="n">
        <x:v>101</x:v>
      </x:c>
      <x:c r="E17" s="45" t="n">
        <x:v>32</x:v>
      </x:c>
      <x:c r="F17" s="55" t="n">
        <x:v>73</x:v>
      </x:c>
    </x:row>
    <x:row r="18">
      <x:c r="A18" s="56" t="n">
        <x:v>66</x:v>
      </x:c>
      <x:c r="B18" s="57" t="n">
        <x:v>117</x:v>
      </x:c>
      <x:c r="C18" s="57" t="n">
        <x:v>101</x:v>
      </x:c>
      <x:c r="D18" s="57" t="n">
        <x:v>110</x:v>
      </x:c>
      <x:c r="E18" s="57" t="n">
        <x:v>97</x:v>
      </x:c>
      <x:c r="F18" s="58" t="n">
        <x:v>32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17.5" hidden="0" customWidth="1"/>
    <x:col min="3" max="3" width="41" hidden="0" customWidth="1"/>
    <x:col min="4" max="4" width="10.5" hidden="0" customWidth="1"/>
    <x:col min="5" max="5" width="5.75" hidden="0" customWidth="1"/>
    <x:col min="6" max="6" width="11.880000114440918" hidden="0" customWidth="1"/>
    <x:col min="7" max="7" width="17.1299991607666" hidden="0" customWidth="1"/>
  </x:cols>
  <x:sheetData>
    <x:row r="1">
      <x:c r="A1" s="65" t="str">
        <x:v>Fecha</x:v>
      </x:c>
      <x:c r="B1" s="66" t="str">
        <x:v>Tema</x:v>
      </x:c>
      <x:c r="C1" s="66" t="str">
        <x:v>Decision</x:v>
      </x:c>
      <x:c r="D1" s="66" t="str">
        <x:v>Responsable</x:v>
      </x:c>
      <x:c r="E1" s="66" t="str">
        <x:v>Estado</x:v>
      </x:c>
      <x:c r="F1" s="66" t="str">
        <x:v>Dependencia</x:v>
      </x:c>
      <x:c r="G1" s="67" t="str">
        <x:v>Comentario</x:v>
      </x:c>
    </x:row>
    <x:row r="2">
      <x:c r="A2" s="78" t="n">
        <x:v>46209</x:v>
      </x:c>
      <x:c r="B2" s="45" t="str">
        <x:v>Modelo integracion VCT</x:v>
      </x:c>
      <x:c r="C2" s="45" t="str">
        <x:v>Definir si opera full, parcial o solo apoyo</x:v>
      </x:c>
      <x:c r="D2" s="45" t="str">
        <x:v>Jose Ignacio</x:v>
      </x:c>
      <x:c r="E2" s="45" t="str">
        <x:v>Abierta</x:v>
      </x:c>
      <x:c r="F2" s="45" t="str">
        <x:v>Reunion equipo</x:v>
      </x:c>
      <x:c r="G2" s="55" t="str">
        <x:v>Afecta facturacion/SAP</x:v>
      </x:c>
    </x:row>
    <x:row r="3">
      <x:c r="A3" s="78" t="n">
        <x:v>46209</x:v>
      </x:c>
      <x:c r="B3" s="45" t="str">
        <x:v>Costo unitario real</x:v>
      </x:c>
      <x:c r="C3" s="45" t="str">
        <x:v>Reemplazar supuesto 250 por costo real</x:v>
      </x:c>
      <x:c r="D3" s="45" t="str">
        <x:v>Jose Ignacio</x:v>
      </x:c>
      <x:c r="E3" s="45" t="str">
        <x:v>Abierta</x:v>
      </x:c>
      <x:c r="F3" s="45" t="str">
        <x:v>Contabilidad</x:v>
      </x:c>
      <x:c r="G3" s="55" t="str">
        <x:v>Margen actual no real</x:v>
      </x:c>
    </x:row>
    <x:row r="4">
      <x:c r="A4" s="78" t="n">
        <x:v>46209</x:v>
      </x:c>
      <x:c r="B4" s="45" t="str">
        <x:v>Stock por canal</x:v>
      </x:c>
      <x:c r="C4" s="45" t="str">
        <x:v>Definir volumen total y asignacion Jumbo/ruta/seguridad</x:v>
      </x:c>
      <x:c r="D4" s="45" t="str">
        <x:v>Jose Ignacio</x:v>
      </x:c>
      <x:c r="E4" s="45" t="str">
        <x:v>Abierta</x:v>
      </x:c>
      <x:c r="F4" s="45" t="str">
        <x:v>Produccion</x:v>
      </x:c>
      <x:c r="G4" s="55"/>
    </x:row>
    <x:row r="5">
      <x:c r="A5" s="78" t="n">
        <x:v>46209</x:v>
      </x:c>
      <x:c r="B5" s="45" t="str">
        <x:v>Clientes piloto</x:v>
      </x:c>
      <x:c r="C5" s="45" t="str">
        <x:v>Confirmar lista definitiva y clientes fuera</x:v>
      </x:c>
      <x:c r="D5" s="45" t="str">
        <x:v>Equipo</x:v>
      </x:c>
      <x:c r="E5" s="45" t="str">
        <x:v>Abierta</x:v>
      </x:c>
      <x:c r="F5" s="45"/>
      <x:c r="G5" s="55" t="str">
        <x:v>No abrir de mas</x:v>
      </x:c>
    </x:row>
    <x:row r="6">
      <x:c r="A6" s="78" t="n">
        <x:v>46209</x:v>
      </x:c>
      <x:c r="B6" s="45" t="str">
        <x:v>Reunion Jumbo</x:v>
      </x:c>
      <x:c r="C6" s="45" t="str">
        <x:v>Confirmar reunion definitiva</x:v>
      </x:c>
      <x:c r="D6" s="45" t="str">
        <x:v>Jose Ignacio</x:v>
      </x:c>
      <x:c r="E6" s="45" t="str">
        <x:v>Abierta</x:v>
      </x:c>
      <x:c r="F6" s="45" t="str">
        <x:v>Cencosud</x:v>
      </x:c>
      <x:c r="G6" s="55" t="str">
        <x:v>Retail principal</x:v>
      </x:c>
    </x:row>
    <x:row r="7">
      <x:c r="A7" s="79" t="n">
        <x:v>46209</x:v>
      </x:c>
      <x:c r="B7" s="57" t="str">
        <x:v>Herramienta futura</x:v>
      </x:c>
      <x:c r="C7" s="57" t="str">
        <x:v>Evaluar Excel/Forms/Planner/Power BI/Solida</x:v>
      </x:c>
      <x:c r="D7" s="57" t="str">
        <x:v>Jose Ignacio</x:v>
      </x:c>
      <x:c r="E7" s="57" t="str">
        <x:v>Abierta</x:v>
      </x:c>
      <x:c r="F7" s="57"/>
      <x:c r="G7" s="58" t="str">
        <x:v>Partir simple</x:v>
      </x:c>
    </x:row>
  </x:sheetData>
  <x:pageMargins left="0.7" right="0.7" top="0.75" bottom="0.75" header="0.3" footer="0.3"/>
  <x:tableParts count="1">
    <x:tablePart xmlns:r="http://schemas.openxmlformats.org/officeDocument/2006/relationships" r:id="Rf144e6ab068e4198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5.130000114440918" hidden="0" customWidth="1"/>
    <x:col min="2" max="2" width="7.75" hidden="0" customWidth="1"/>
    <x:col min="3" max="3" width="5.880000114440918" hidden="0" customWidth="1"/>
    <x:col min="4" max="4" width="12.380000114440918" hidden="0" customWidth="1"/>
    <x:col min="5" max="5" width="5.880000114440918" hidden="0" customWidth="1"/>
    <x:col min="6" max="6" width="5.880000114440918" hidden="0" customWidth="1"/>
    <x:col min="7" max="7" width="12.630000114440918" hidden="0" customWidth="1"/>
    <x:col min="8" max="8" width="10" hidden="0" customWidth="1"/>
    <x:col min="9" max="9" width="5.130000114440918" hidden="0" customWidth="1"/>
    <x:col min="10" max="10" width="11.130000114440918" hidden="0" customWidth="1"/>
  </x:cols>
  <x:sheetData>
    <x:row r="1">
      <x:c r="A1" s="65" t="str">
        <x:v>Canal</x:v>
      </x:c>
      <x:c r="B1" s="66" t="str">
        <x:v>PVP_cIVA</x:v>
      </x:c>
      <x:c r="C1" s="66" t="str">
        <x:v>%Desc</x:v>
      </x:c>
      <x:c r="D1" s="66" t="str">
        <x:v>Margen_Frontal</x:v>
      </x:c>
      <x:c r="E1" s="66" t="str">
        <x:v>Rappel</x:v>
      </x:c>
      <x:c r="F1" s="66" t="str">
        <x:v>Merma</x:v>
      </x:c>
      <x:c r="G1" s="66" t="str">
        <x:v>Costo_Logistica</x:v>
      </x:c>
      <x:c r="H1" s="66" t="str">
        <x:v>Neto_Canal</x:v>
      </x:c>
      <x:c r="I1" s="66" t="str">
        <x:v>Costo</x:v>
      </x:c>
      <x:c r="J1" s="67" t="str">
        <x:v>Margen_Bruto</x:v>
      </x:c>
    </x:row>
    <x:row r="2">
      <x:c r="A2" s="54" t="str">
        <x:v>Retail Moderno</x:v>
      </x:c>
      <x:c r="B2" s="70" t="n">
        <x:v>5900</x:v>
      </x:c>
      <x:c r="C2" s="88" t="n">
        <x:v>0</x:v>
      </x:c>
      <x:c r="D2" s="88" t="n">
        <x:v>0.3</x:v>
      </x:c>
      <x:c r="E2" s="88" t="n">
        <x:v>0.05</x:v>
      </x:c>
      <x:c r="F2" s="88" t="n">
        <x:v>0.02</x:v>
      </x:c>
      <x:c r="G2" s="70" t="n">
        <x:v>300</x:v>
      </x:c>
      <x:c r="H2" s="70" t="n">
        <x:v>4957.983193277311</x:v>
      </x:c>
      <x:c r="I2" s="70" t="n">
        <x:v>1003.0000000000001</x:v>
      </x:c>
      <x:c r="J2" s="84" t="n">
        <x:v>3654.9831932773113</x:v>
      </x:c>
    </x:row>
    <x:row r="3">
      <x:c r="A3" s="54" t="str">
        <x:v>Canal Especializado</x:v>
      </x:c>
      <x:c r="B3" s="70" t="n">
        <x:v>1900</x:v>
      </x:c>
      <x:c r="C3" s="88" t="n">
        <x:v>0</x:v>
      </x:c>
      <x:c r="D3" s="88" t="n">
        <x:v>0.35</x:v>
      </x:c>
      <x:c r="E3" s="88" t="n">
        <x:v>0</x:v>
      </x:c>
      <x:c r="F3" s="88" t="n">
        <x:v>0.02</x:v>
      </x:c>
      <x:c r="G3" s="70" t="n">
        <x:v>150</x:v>
      </x:c>
      <x:c r="H3" s="70" t="n">
        <x:v>1596.638655462185</x:v>
      </x:c>
      <x:c r="I3" s="70" t="n">
        <x:v>247</x:v>
      </x:c>
      <x:c r="J3" s="84" t="n">
        <x:v>1199.638655462185</x:v>
      </x:c>
    </x:row>
    <x:row r="4">
      <x:c r="A4" s="56" t="str">
        <x:v>HoReCa</x:v>
      </x:c>
      <x:c r="B4" s="71" t="n">
        <x:v>5900</x:v>
      </x:c>
      <x:c r="C4" s="89" t="n">
        <x:v>0</x:v>
      </x:c>
      <x:c r="D4" s="89" t="n">
        <x:v>0.4</x:v>
      </x:c>
      <x:c r="E4" s="89" t="n">
        <x:v>0</x:v>
      </x:c>
      <x:c r="F4" s="89" t="n">
        <x:v>0</x:v>
      </x:c>
      <x:c r="G4" s="71" t="n">
        <x:v>200</x:v>
      </x:c>
      <x:c r="H4" s="71" t="n">
        <x:v>4957.983193277311</x:v>
      </x:c>
      <x:c r="I4" s="71" t="n">
        <x:v>1003.0000000000001</x:v>
      </x:c>
      <x:c r="J4" s="85" t="n">
        <x:v>3754.9831932773113</x:v>
      </x:c>
    </x:row>
  </x:sheetData>
  <x:pageMargins left="0.7" right="0.7" top="0.75" bottom="0.75" header="0.3" footer="0.3"/>
  <x:tableParts count="1">
    <x:tablePart xmlns:r="http://schemas.openxmlformats.org/officeDocument/2006/relationships" r:id="R4a28a0ee35424c0a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5.130000114440918" hidden="0" customWidth="1"/>
    <x:col min="3" max="3" width="8.5" hidden="0" customWidth="1"/>
    <x:col min="4" max="4" width="6.130000114440918" hidden="0" customWidth="1"/>
    <x:col min="5" max="5" width="9.25" hidden="0" customWidth="1"/>
    <x:col min="6" max="6" width="8" hidden="0" customWidth="1"/>
    <x:col min="7" max="7" width="8.25" hidden="0" customWidth="1"/>
    <x:col min="8" max="8" width="3.5" hidden="0" customWidth="1"/>
    <x:col min="9" max="9" width="13.75" hidden="0" customWidth="1"/>
    <x:col min="10" max="10" width="5.880000114440918" hidden="0" customWidth="1"/>
    <x:col min="11" max="11" width="9.380000114440918" hidden="0" customWidth="1"/>
    <x:col min="12" max="12" width="9.5" hidden="0" customWidth="1"/>
    <x:col min="13" max="13" width="6.130000114440918" hidden="0" customWidth="1"/>
    <x:col min="14" max="14" width="12.380000114440918" hidden="0" customWidth="1"/>
    <x:col min="15" max="15" width="8.880000114440918" hidden="0" customWidth="1"/>
    <x:col min="16" max="16" width="9.75" hidden="0" customWidth="1"/>
    <x:col min="17" max="17" width="9.630000114440918" hidden="0" customWidth="1"/>
    <x:col min="18" max="18" width="9.25" hidden="0" customWidth="1"/>
    <x:col min="19" max="19" width="20.5" hidden="0" customWidth="1"/>
  </x:cols>
  <x:sheetData>
    <x:row r="1">
      <x:c r="A1" s="65" t="str">
        <x:v>ID_Venta</x:v>
      </x:c>
      <x:c r="B1" s="66" t="str">
        <x:v>Fecha</x:v>
      </x:c>
      <x:c r="C1" s="66" t="str">
        <x:v>ID_Cliente</x:v>
      </x:c>
      <x:c r="D1" s="66" t="str">
        <x:v>ID_PDV</x:v>
      </x:c>
      <x:c r="E1" s="66" t="str">
        <x:v>SKU</x:v>
      </x:c>
      <x:c r="F1" s="66" t="str">
        <x:v>N_OC</x:v>
      </x:c>
      <x:c r="G1" s="66" t="str">
        <x:v>N_Factura</x:v>
      </x:c>
      <x:c r="H1" s="66" t="str">
        <x:v>Uds</x:v>
      </x:c>
      <x:c r="I1" s="66" t="str">
        <x:v>Precio_Unit_Neto</x:v>
      </x:c>
      <x:c r="J1" s="66" t="str">
        <x:v>%Desc</x:v>
      </x:c>
      <x:c r="K1" s="66" t="str">
        <x:v>Venta_Neta</x:v>
      </x:c>
      <x:c r="L1" s="66" t="str">
        <x:v>Costo_Total</x:v>
      </x:c>
      <x:c r="M1" s="66" t="str">
        <x:v>Margen</x:v>
      </x:c>
      <x:c r="N1" s="66" t="str">
        <x:v>Estado_Factura</x:v>
      </x:c>
      <x:c r="O1" s="66" t="str">
        <x:v>Plazo_Dias</x:v>
      </x:c>
      <x:c r="P1" s="66" t="str">
        <x:v>Fecha_Venc</x:v>
      </x:c>
      <x:c r="Q1" s="66" t="str">
        <x:v>Fecha_Pago</x:v>
      </x:c>
      <x:c r="R1" s="66" t="str">
        <x:v>Resp</x:v>
      </x:c>
      <x:c r="S1" s="67" t="str">
        <x:v>Notas</x:v>
      </x:c>
    </x:row>
    <x:row r="2">
      <x:c r="A2" s="80" t="n">
        <x:v>1</x:v>
      </x:c>
      <x:c r="B2" s="72" t="n">
        <x:v>46027</x:v>
      </x:c>
      <x:c r="C2" s="45" t="str">
        <x:v>CL-DEL</x:v>
      </x:c>
      <x:c r="D2" s="45" t="str">
        <x:v>D001</x:v>
      </x:c>
      <x:c r="E2" s="45" t="str">
        <x:v>SKU-CAC-U</x:v>
      </x:c>
      <x:c r="F2" s="72"/>
      <x:c r="G2" s="72" t="str">
        <x:v>F-5490</x:v>
      </x:c>
      <x:c r="H2" s="68" t="n">
        <x:v>12</x:v>
      </x:c>
      <x:c r="I2" s="70" t="n">
        <x:v>1596.638655462185</x:v>
      </x:c>
      <x:c r="J2" s="88" t="n">
        <x:v>0</x:v>
      </x:c>
      <x:c r="K2" s="70" t="n">
        <x:v>19160</x:v>
      </x:c>
      <x:c r="L2" s="70" t="n">
        <x:v>3000</x:v>
      </x:c>
      <x:c r="M2" s="70" t="n">
        <x:v>16160</x:v>
      </x:c>
      <x:c r="N2" s="72" t="str">
        <x:v>Pagada</x:v>
      </x:c>
      <x:c r="O2" s="68" t="n">
        <x:v>30</x:v>
      </x:c>
      <x:c r="P2" s="72" t="n">
        <x:v>46057</x:v>
      </x:c>
      <x:c r="Q2" s="72" t="n">
        <x:v>46057</x:v>
      </x:c>
      <x:c r="R2" s="45" t="str">
        <x:v>Ana Barra</x:v>
      </x:c>
      <x:c r="S2" s="55" t="str">
        <x:v>Sabor por confirmar</x:v>
      </x:c>
    </x:row>
    <x:row r="3">
      <x:c r="A3" s="80" t="n">
        <x:v>2</x:v>
      </x:c>
      <x:c r="B3" s="72" t="n">
        <x:v>46028</x:v>
      </x:c>
      <x:c r="C3" s="45" t="str">
        <x:v>CL-DEL</x:v>
      </x:c>
      <x:c r="D3" s="45" t="str">
        <x:v>D002</x:v>
      </x:c>
      <x:c r="E3" s="45" t="str">
        <x:v>SKU-MAN-U</x:v>
      </x:c>
      <x:c r="F3" s="72"/>
      <x:c r="G3" s="72" t="str">
        <x:v>F-5491</x:v>
      </x:c>
      <x:c r="H3" s="68" t="n">
        <x:v>8</x:v>
      </x:c>
      <x:c r="I3" s="70" t="n">
        <x:v>1596.638655462185</x:v>
      </x:c>
      <x:c r="J3" s="88" t="n">
        <x:v>0</x:v>
      </x:c>
      <x:c r="K3" s="70" t="n">
        <x:v>12773</x:v>
      </x:c>
      <x:c r="L3" s="70" t="n">
        <x:v>2000</x:v>
      </x:c>
      <x:c r="M3" s="70" t="n">
        <x:v>10773</x:v>
      </x:c>
      <x:c r="N3" s="72" t="str">
        <x:v>Pagada</x:v>
      </x:c>
      <x:c r="O3" s="68" t="n">
        <x:v>30</x:v>
      </x:c>
      <x:c r="P3" s="72" t="n">
        <x:v>46058</x:v>
      </x:c>
      <x:c r="Q3" s="72" t="n">
        <x:v>46058</x:v>
      </x:c>
      <x:c r="R3" s="45" t="str">
        <x:v>Ana Barra</x:v>
      </x:c>
      <x:c r="S3" s="55" t="str">
        <x:v>Sabor por confirmar</x:v>
      </x:c>
    </x:row>
    <x:row r="4">
      <x:c r="A4" s="80" t="n">
        <x:v>3</x:v>
      </x:c>
      <x:c r="B4" s="72" t="n">
        <x:v>46029</x:v>
      </x:c>
      <x:c r="C4" s="45" t="str">
        <x:v>CL-ALN</x:v>
      </x:c>
      <x:c r="D4" s="45" t="str">
        <x:v>AN01</x:v>
      </x:c>
      <x:c r="E4" s="45" t="str">
        <x:v>SKU-FRU-U</x:v>
      </x:c>
      <x:c r="F4" s="72"/>
      <x:c r="G4" s="72" t="str">
        <x:v>F-5492</x:v>
      </x:c>
      <x:c r="H4" s="68" t="n">
        <x:v>9</x:v>
      </x:c>
      <x:c r="I4" s="70" t="n">
        <x:v>1596.638655462185</x:v>
      </x:c>
      <x:c r="J4" s="88" t="n">
        <x:v>0</x:v>
      </x:c>
      <x:c r="K4" s="70" t="n">
        <x:v>14370</x:v>
      </x:c>
      <x:c r="L4" s="70" t="n">
        <x:v>2250</x:v>
      </x:c>
      <x:c r="M4" s="70" t="n">
        <x:v>12120</x:v>
      </x:c>
      <x:c r="N4" s="72" t="str">
        <x:v>Emitida</x:v>
      </x:c>
      <x:c r="O4" s="68" t="n">
        <x:v>30</x:v>
      </x:c>
      <x:c r="P4" s="72" t="n">
        <x:v>46059</x:v>
      </x:c>
      <x:c r="Q4" s="72"/>
      <x:c r="R4" s="45" t="str">
        <x:v>Jose Ignacio</x:v>
      </x:c>
      <x:c r="S4" s="55" t="str">
        <x:v>Sabor por confirmar</x:v>
      </x:c>
    </x:row>
    <x:row r="5">
      <x:c r="A5" s="80" t="n">
        <x:v>4</x:v>
      </x:c>
      <x:c r="B5" s="72" t="n">
        <x:v>46031</x:v>
      </x:c>
      <x:c r="C5" s="45" t="str">
        <x:v>CL-PIR</x:v>
      </x:c>
      <x:c r="D5" s="45" t="str">
        <x:v>P001</x:v>
      </x:c>
      <x:c r="E5" s="45" t="str">
        <x:v>SKU-CAC-4</x:v>
      </x:c>
      <x:c r="F5" s="72"/>
      <x:c r="G5" s="72" t="str">
        <x:v>F-5493</x:v>
      </x:c>
      <x:c r="H5" s="68" t="n">
        <x:v>5</x:v>
      </x:c>
      <x:c r="I5" s="70" t="n">
        <x:v>4957.983193277311</x:v>
      </x:c>
      <x:c r="J5" s="88" t="n">
        <x:v>0</x:v>
      </x:c>
      <x:c r="K5" s="70" t="n">
        <x:v>24790</x:v>
      </x:c>
      <x:c r="L5" s="70" t="n">
        <x:v>5000</x:v>
      </x:c>
      <x:c r="M5" s="70" t="n">
        <x:v>19790</x:v>
      </x:c>
      <x:c r="N5" s="72" t="str">
        <x:v>Pagada</x:v>
      </x:c>
      <x:c r="O5" s="68" t="n">
        <x:v>30</x:v>
      </x:c>
      <x:c r="P5" s="72" t="n">
        <x:v>46061</x:v>
      </x:c>
      <x:c r="Q5" s="72" t="n">
        <x:v>46061</x:v>
      </x:c>
      <x:c r="R5" s="45" t="str">
        <x:v>Jose Ignacio</x:v>
      </x:c>
      <x:c r="S5" s="55" t="str">
        <x:v>Sabor por confirmar</x:v>
      </x:c>
    </x:row>
    <x:row r="6">
      <x:c r="A6" s="80" t="n">
        <x:v>5</x:v>
      </x:c>
      <x:c r="B6" s="72" t="n">
        <x:v>46034</x:v>
      </x:c>
      <x:c r="C6" s="45" t="str">
        <x:v>CL-RITZ</x:v>
      </x:c>
      <x:c r="D6" s="45" t="str">
        <x:v>H001</x:v>
      </x:c>
      <x:c r="E6" s="45" t="str">
        <x:v>SKU-MAN-4</x:v>
      </x:c>
      <x:c r="F6" s="72"/>
      <x:c r="G6" s="72" t="str">
        <x:v>F-5502</x:v>
      </x:c>
      <x:c r="H6" s="68" t="n">
        <x:v>8</x:v>
      </x:c>
      <x:c r="I6" s="70" t="n">
        <x:v>4957.983193277311</x:v>
      </x:c>
      <x:c r="J6" s="88" t="n">
        <x:v>0</x:v>
      </x:c>
      <x:c r="K6" s="70" t="n">
        <x:v>39664</x:v>
      </x:c>
      <x:c r="L6" s="70" t="n">
        <x:v>8000</x:v>
      </x:c>
      <x:c r="M6" s="70" t="n">
        <x:v>31664</x:v>
      </x:c>
      <x:c r="N6" s="72" t="str">
        <x:v>Emitida</x:v>
      </x:c>
      <x:c r="O6" s="68" t="n">
        <x:v>30</x:v>
      </x:c>
      <x:c r="P6" s="72" t="n">
        <x:v>46064</x:v>
      </x:c>
      <x:c r="Q6" s="72"/>
      <x:c r="R6" s="45" t="str">
        <x:v>Jose Ignacio</x:v>
      </x:c>
      <x:c r="S6" s="55" t="str">
        <x:v>Sabor por confirmar</x:v>
      </x:c>
    </x:row>
    <x:row r="7">
      <x:c r="A7" s="80" t="n">
        <x:v>6</x:v>
      </x:c>
      <x:c r="B7" s="72" t="n">
        <x:v>46035</x:v>
      </x:c>
      <x:c r="C7" s="45" t="str">
        <x:v>CL-CEN</x:v>
      </x:c>
      <x:c r="D7" s="45" t="str">
        <x:v>J001</x:v>
      </x:c>
      <x:c r="E7" s="45" t="str">
        <x:v>SKU-FRU-4</x:v>
      </x:c>
      <x:c r="F7" s="72" t="str">
        <x:v>OC-88231</x:v>
      </x:c>
      <x:c r="G7" s="72" t="str">
        <x:v>F-5501</x:v>
      </x:c>
      <x:c r="H7" s="68" t="n">
        <x:v>50</x:v>
      </x:c>
      <x:c r="I7" s="70" t="n">
        <x:v>4957.983193277311</x:v>
      </x:c>
      <x:c r="J7" s="88" t="n">
        <x:v>0</x:v>
      </x:c>
      <x:c r="K7" s="70" t="n">
        <x:v>247899</x:v>
      </x:c>
      <x:c r="L7" s="70" t="n">
        <x:v>50000</x:v>
      </x:c>
      <x:c r="M7" s="70" t="n">
        <x:v>197899</x:v>
      </x:c>
      <x:c r="N7" s="72" t="str">
        <x:v>Emitida</x:v>
      </x:c>
      <x:c r="O7" s="68" t="n">
        <x:v>30</x:v>
      </x:c>
      <x:c r="P7" s="72" t="n">
        <x:v>46065</x:v>
      </x:c>
      <x:c r="Q7" s="72"/>
      <x:c r="R7" s="45" t="str">
        <x:v>Jose Ignacio</x:v>
      </x:c>
      <x:c r="S7" s="55" t="str">
        <x:v>Fecha corregida (era 46179)</x:v>
      </x:c>
    </x:row>
    <x:row r="8">
      <x:c r="A8" s="81"/>
      <x:c r="B8" s="73"/>
      <x:c r="C8" s="57"/>
      <x:c r="D8" s="57"/>
      <x:c r="E8" s="57"/>
      <x:c r="F8" s="73"/>
      <x:c r="G8" s="73" t="str">
        <x:v>TOTAL</x:v>
      </x:c>
      <x:c r="H8" s="69" t="n">
        <x:v>92</x:v>
      </x:c>
      <x:c r="I8" s="71"/>
      <x:c r="J8" s="89"/>
      <x:c r="K8" s="71" t="n">
        <x:v>358656</x:v>
      </x:c>
      <x:c r="L8" s="71"/>
      <x:c r="M8" s="71" t="n">
        <x:v>288406</x:v>
      </x:c>
      <x:c r="N8" s="73"/>
      <x:c r="O8" s="69"/>
      <x:c r="P8" s="73"/>
      <x:c r="Q8" s="73"/>
      <x:c r="R8" s="57"/>
      <x:c r="S8" s="58"/>
    </x:row>
  </x:sheetData>
  <x:pageMargins left="0.7" right="0.7" top="0.75" bottom="0.75" header="0.3" footer="0.3"/>
  <x:tableParts count="1">
    <x:tablePart xmlns:r="http://schemas.openxmlformats.org/officeDocument/2006/relationships" r:id="R589746bf62324936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8.5" hidden="0" customWidth="1"/>
    <x:col min="3" max="3" width="8.380000114440918" hidden="0" customWidth="1"/>
    <x:col min="4" max="4" width="8" hidden="0" customWidth="1"/>
    <x:col min="5" max="5" width="8.630000114440918" hidden="0" customWidth="1"/>
    <x:col min="6" max="6" width="13.630000114440918" hidden="0" customWidth="1"/>
    <x:col min="7" max="7" width="6" hidden="0" customWidth="1"/>
    <x:col min="8" max="8" width="11.630000114440918" hidden="0" customWidth="1"/>
    <x:col min="9" max="9" width="8.25" hidden="0" customWidth="1"/>
    <x:col min="10" max="10" width="7.880000114440918" hidden="0" customWidth="1"/>
    <x:col min="11" max="11" width="13.75" hidden="0" customWidth="1"/>
    <x:col min="12" max="12" width="8.75" hidden="0" customWidth="1"/>
    <x:col min="13" max="13" width="11.25" hidden="0" customWidth="1"/>
  </x:cols>
  <x:sheetData>
    <x:row r="1">
      <x:c r="A1" s="65" t="str">
        <x:v>ID_Pedido</x:v>
      </x:c>
      <x:c r="B1" s="66" t="str">
        <x:v>ID_Cliente</x:v>
      </x:c>
      <x:c r="C1" s="66" t="str">
        <x:v>Fecha_OC</x:v>
      </x:c>
      <x:c r="D1" s="66" t="str">
        <x:v>N_OC</x:v>
      </x:c>
      <x:c r="E1" s="66" t="str">
        <x:v>Monto_OC</x:v>
      </x:c>
      <x:c r="F1" s="66" t="str">
        <x:v>Fecha_Despacho</x:v>
      </x:c>
      <x:c r="G1" s="66" t="str">
        <x:v>N_Guia</x:v>
      </x:c>
      <x:c r="H1" s="66" t="str">
        <x:v>Fecha_Factura</x:v>
      </x:c>
      <x:c r="I1" s="66" t="str">
        <x:v>N_Factura</x:v>
      </x:c>
      <x:c r="J1" s="66" t="str">
        <x:v>Estado</x:v>
      </x:c>
      <x:c r="K1" s="66" t="str">
        <x:v>Fecha_Pago_Real</x:v>
      </x:c>
      <x:c r="L1" s="66" t="str">
        <x:v>Dias_Ciclo</x:v>
      </x:c>
      <x:c r="M1" s="67" t="str">
        <x:v>Notas</x:v>
      </x:c>
    </x:row>
    <x:row r="2">
      <x:c r="A2" s="54" t="str">
        <x:v>PED001</x:v>
      </x:c>
      <x:c r="B2" s="45" t="str">
        <x:v>CL-CEN</x:v>
      </x:c>
      <x:c r="C2" s="72" t="n">
        <x:v>46032</x:v>
      </x:c>
      <x:c r="D2" s="72" t="str">
        <x:v>OC-88231</x:v>
      </x:c>
      <x:c r="E2" s="72" t="n">
        <x:v>295000</x:v>
      </x:c>
      <x:c r="F2" s="72" t="n">
        <x:v>46034</x:v>
      </x:c>
      <x:c r="G2" s="45" t="str">
        <x:v>G-1201</x:v>
      </x:c>
      <x:c r="H2" s="72" t="n">
        <x:v>46035</x:v>
      </x:c>
      <x:c r="I2" s="72" t="str">
        <x:v>F-5501</x:v>
      </x:c>
      <x:c r="J2" s="45" t="str">
        <x:v>Facturado</x:v>
      </x:c>
      <x:c r="K2" s="72"/>
      <x:c r="L2" s="68" t="n">
        <x:v>178</x:v>
      </x:c>
      <x:c r="M2" s="55" t="str">
        <x:v>B2B Cencosud</x:v>
      </x:c>
    </x:row>
    <x:row r="3">
      <x:c r="A3" s="54" t="str">
        <x:v>PED002</x:v>
      </x:c>
      <x:c r="B3" s="45" t="str">
        <x:v>CL-RITZ</x:v>
      </x:c>
      <x:c r="C3" s="72" t="n">
        <x:v>46033</x:v>
      </x:c>
      <x:c r="D3" s="72" t="str">
        <x:v>OC-RC-19</x:v>
      </x:c>
      <x:c r="E3" s="72" t="n">
        <x:v>47200</x:v>
      </x:c>
      <x:c r="F3" s="72" t="n">
        <x:v>46034</x:v>
      </x:c>
      <x:c r="G3" s="45" t="str">
        <x:v>G-1202</x:v>
      </x:c>
      <x:c r="H3" s="72" t="n">
        <x:v>46034</x:v>
      </x:c>
      <x:c r="I3" s="72" t="str">
        <x:v>F-5502</x:v>
      </x:c>
      <x:c r="J3" s="45" t="str">
        <x:v>Pagado</x:v>
      </x:c>
      <x:c r="K3" s="72" t="n">
        <x:v>46037</x:v>
      </x:c>
      <x:c r="L3" s="68" t="n">
        <x:v>4</x:v>
      </x:c>
      <x:c r="M3" s="55" t="str">
        <x:v>Contado</x:v>
      </x:c>
    </x:row>
    <x:row r="4">
      <x:c r="A4" s="56" t="str">
        <x:v>PED003</x:v>
      </x:c>
      <x:c r="B4" s="57" t="str">
        <x:v>CL-DEL</x:v>
      </x:c>
      <x:c r="C4" s="73" t="n">
        <x:v>46027</x:v>
      </x:c>
      <x:c r="D4" s="73" t="str">
        <x:v>OC-DL-03</x:v>
      </x:c>
      <x:c r="E4" s="73" t="n">
        <x:v>22800</x:v>
      </x:c>
      <x:c r="F4" s="73" t="n">
        <x:v>46027</x:v>
      </x:c>
      <x:c r="G4" s="57" t="str">
        <x:v>G-1150</x:v>
      </x:c>
      <x:c r="H4" s="73" t="n">
        <x:v>46027</x:v>
      </x:c>
      <x:c r="I4" s="73" t="str">
        <x:v>F-5490</x:v>
      </x:c>
      <x:c r="J4" s="57" t="str">
        <x:v>Cerrado</x:v>
      </x:c>
      <x:c r="K4" s="73" t="n">
        <x:v>46027</x:v>
      </x:c>
      <x:c r="L4" s="69" t="n">
        <x:v>0</x:v>
      </x:c>
      <x:c r="M4" s="58"/>
    </x:row>
  </x:sheetData>
  <x:pageMargins left="0.7" right="0.7" top="0.75" bottom="0.75" header="0.3" footer="0.3"/>
  <x:tableParts count="1">
    <x:tablePart xmlns:r="http://schemas.openxmlformats.org/officeDocument/2006/relationships" r:id="R795d7605036442e6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9.5" hidden="0" customWidth="1"/>
    <x:col min="2" max="2" width="9.130000114440918" hidden="0" customWidth="1"/>
    <x:col min="3" max="3" width="12.75" hidden="0" customWidth="1"/>
    <x:col min="4" max="4" width="11.380000114440918" hidden="0" customWidth="1"/>
    <x:col min="5" max="5" width="12.75" hidden="0" customWidth="1"/>
    <x:col min="6" max="6" width="11.5" hidden="0" customWidth="1"/>
    <x:col min="7" max="7" width="11.25" hidden="0" customWidth="1"/>
    <x:col min="8" max="8" width="10.130000114440918" hidden="0" customWidth="1"/>
    <x:col min="9" max="9" width="7.25" hidden="0" customWidth="1"/>
  </x:cols>
  <x:sheetData>
    <x:row r="1">
      <x:c r="A1" s="65" t="str">
        <x:v>STOCK POR CANAL / SKU</x:v>
      </x:c>
      <x:c r="B1" s="66"/>
      <x:c r="C1" s="66"/>
      <x:c r="D1" s="66"/>
      <x:c r="E1" s="66"/>
      <x:c r="F1" s="66"/>
      <x:c r="G1" s="66"/>
      <x:c r="H1" s="66"/>
      <x:c r="I1" s="67"/>
    </x:row>
    <x:row r="2">
      <x:c r="A2" s="78" t="str">
        <x:v>SKU</x:v>
      </x:c>
      <x:c r="B2" s="45" t="str">
        <x:v>Stock_Total</x:v>
      </x:c>
      <x:c r="C2" s="45" t="str">
        <x:v>Asignado_Jumbo</x:v>
      </x:c>
      <x:c r="D2" s="45" t="str">
        <x:v>Asignado_Ruta</x:v>
      </x:c>
      <x:c r="E2" s="45" t="str">
        <x:v>Stock_Seguridad</x:v>
      </x:c>
      <x:c r="F2" s="45" t="str">
        <x:v>Comprometido</x:v>
      </x:c>
      <x:c r="G2" s="45" t="str">
        <x:v>Disponible</x:v>
      </x:c>
      <x:c r="H2" s="45" t="str">
        <x:v>Punto_Repos</x:v>
      </x:c>
      <x:c r="I2" s="55" t="str">
        <x:v>Alerta</x:v>
      </x:c>
    </x:row>
    <x:row r="3">
      <x:c r="A3" s="78" t="str">
        <x:v>SKU-CAC-U</x:v>
      </x:c>
      <x:c r="B3" s="45" t="n">
        <x:v>200</x:v>
      </x:c>
      <x:c r="C3" s="45" t="n">
        <x:v>120</x:v>
      </x:c>
      <x:c r="D3" s="45" t="n">
        <x:v>60</x:v>
      </x:c>
      <x:c r="E3" s="45" t="n">
        <x:v>20</x:v>
      </x:c>
      <x:c r="F3" s="45" t="n">
        <x:v>0</x:v>
      </x:c>
      <x:c r="G3" s="45" t="n">
        <x:v>0</x:v>
      </x:c>
      <x:c r="H3" s="45" t="n">
        <x:v>30</x:v>
      </x:c>
      <x:c r="I3" s="55" t="str">
        <x:v>QUIEBRE</x:v>
      </x:c>
    </x:row>
    <x:row r="4">
      <x:c r="A4" s="78" t="str">
        <x:v>SKU-MAN-U</x:v>
      </x:c>
      <x:c r="B4" s="45" t="n">
        <x:v>200</x:v>
      </x:c>
      <x:c r="C4" s="45" t="n">
        <x:v>120</x:v>
      </x:c>
      <x:c r="D4" s="45" t="n">
        <x:v>60</x:v>
      </x:c>
      <x:c r="E4" s="45" t="n">
        <x:v>20</x:v>
      </x:c>
      <x:c r="F4" s="45" t="n">
        <x:v>0</x:v>
      </x:c>
      <x:c r="G4" s="45" t="n">
        <x:v>0</x:v>
      </x:c>
      <x:c r="H4" s="45" t="n">
        <x:v>30</x:v>
      </x:c>
      <x:c r="I4" s="55" t="str">
        <x:v>QUIEBRE</x:v>
      </x:c>
    </x:row>
    <x:row r="5">
      <x:c r="A5" s="78" t="str">
        <x:v>SKU-FRU-U</x:v>
      </x:c>
      <x:c r="B5" s="45" t="n">
        <x:v>200</x:v>
      </x:c>
      <x:c r="C5" s="45" t="n">
        <x:v>120</x:v>
      </x:c>
      <x:c r="D5" s="45" t="n">
        <x:v>60</x:v>
      </x:c>
      <x:c r="E5" s="45" t="n">
        <x:v>20</x:v>
      </x:c>
      <x:c r="F5" s="45" t="n">
        <x:v>0</x:v>
      </x:c>
      <x:c r="G5" s="45" t="n">
        <x:v>0</x:v>
      </x:c>
      <x:c r="H5" s="45" t="n">
        <x:v>30</x:v>
      </x:c>
      <x:c r="I5" s="55" t="str">
        <x:v>QUIEBRE</x:v>
      </x:c>
    </x:row>
    <x:row r="6">
      <x:c r="A6" s="78" t="str">
        <x:v>SKU-CAC-4</x:v>
      </x:c>
      <x:c r="B6" s="45" t="n">
        <x:v>200</x:v>
      </x:c>
      <x:c r="C6" s="45" t="n">
        <x:v>120</x:v>
      </x:c>
      <x:c r="D6" s="45" t="n">
        <x:v>60</x:v>
      </x:c>
      <x:c r="E6" s="45" t="n">
        <x:v>20</x:v>
      </x:c>
      <x:c r="F6" s="45" t="n">
        <x:v>0</x:v>
      </x:c>
      <x:c r="G6" s="45" t="n">
        <x:v>0</x:v>
      </x:c>
      <x:c r="H6" s="45" t="n">
        <x:v>30</x:v>
      </x:c>
      <x:c r="I6" s="55" t="str">
        <x:v>QUIEBRE</x:v>
      </x:c>
    </x:row>
    <x:row r="7">
      <x:c r="A7" s="78" t="str">
        <x:v>SKU-MAN-4</x:v>
      </x:c>
      <x:c r="B7" s="45" t="n">
        <x:v>200</x:v>
      </x:c>
      <x:c r="C7" s="45" t="n">
        <x:v>120</x:v>
      </x:c>
      <x:c r="D7" s="45" t="n">
        <x:v>60</x:v>
      </x:c>
      <x:c r="E7" s="45" t="n">
        <x:v>20</x:v>
      </x:c>
      <x:c r="F7" s="45" t="n">
        <x:v>0</x:v>
      </x:c>
      <x:c r="G7" s="45" t="n">
        <x:v>0</x:v>
      </x:c>
      <x:c r="H7" s="45" t="n">
        <x:v>30</x:v>
      </x:c>
      <x:c r="I7" s="55" t="str">
        <x:v>QUIEBRE</x:v>
      </x:c>
    </x:row>
    <x:row r="8">
      <x:c r="A8" s="78" t="str">
        <x:v>SKU-FRU-4</x:v>
      </x:c>
      <x:c r="B8" s="45" t="n">
        <x:v>200</x:v>
      </x:c>
      <x:c r="C8" s="45" t="n">
        <x:v>120</x:v>
      </x:c>
      <x:c r="D8" s="45" t="n">
        <x:v>60</x:v>
      </x:c>
      <x:c r="E8" s="45" t="n">
        <x:v>20</x:v>
      </x:c>
      <x:c r="F8" s="45" t="n">
        <x:v>0</x:v>
      </x:c>
      <x:c r="G8" s="45" t="n">
        <x:v>0</x:v>
      </x:c>
      <x:c r="H8" s="45" t="n">
        <x:v>30</x:v>
      </x:c>
      <x:c r="I8" s="55" t="str">
        <x:v>QUIEBRE</x:v>
      </x:c>
    </x:row>
    <x:row r="9">
      <x:c r="A9" s="78"/>
      <x:c r="B9" s="45"/>
      <x:c r="C9" s="45"/>
      <x:c r="D9" s="45"/>
      <x:c r="E9" s="45"/>
      <x:c r="F9" s="45"/>
      <x:c r="G9" s="45"/>
      <x:c r="H9" s="45"/>
      <x:c r="I9" s="55"/>
    </x:row>
    <x:row r="10">
      <x:c r="A10" s="78" t="str">
        <x:v>INVENTARIO POR PDV</x:v>
      </x:c>
      <x:c r="B10" s="45"/>
      <x:c r="C10" s="45"/>
      <x:c r="D10" s="45"/>
      <x:c r="E10" s="45"/>
      <x:c r="F10" s="45"/>
      <x:c r="G10" s="45"/>
      <x:c r="H10" s="45"/>
      <x:c r="I10" s="55"/>
    </x:row>
    <x:row r="11">
      <x:c r="A11" s="78" t="str">
        <x:v>ID_PDV</x:v>
      </x:c>
      <x:c r="B11" s="45" t="str">
        <x:v>SKU</x:v>
      </x:c>
      <x:c r="C11" s="45" t="str">
        <x:v>Stock_Inicial</x:v>
      </x:c>
      <x:c r="D11" s="45" t="str">
        <x:v>Vendido_Acum</x:v>
      </x:c>
      <x:c r="E11" s="45" t="str">
        <x:v>Stock_Disp</x:v>
      </x:c>
      <x:c r="F11" s="45" t="str">
        <x:v>Vel_Venta_sem</x:v>
      </x:c>
      <x:c r="G11" s="45" t="str">
        <x:v>Semanas_Rest</x:v>
      </x:c>
      <x:c r="H11" s="45" t="str">
        <x:v>Alerta</x:v>
      </x:c>
      <x:c r="I11" s="55"/>
    </x:row>
    <x:row r="12">
      <x:c r="A12" s="78" t="str">
        <x:v>J001</x:v>
      </x:c>
      <x:c r="B12" s="45" t="str">
        <x:v>SKU-CAC-4</x:v>
      </x:c>
      <x:c r="C12" s="45" t="n">
        <x:v>50</x:v>
      </x:c>
      <x:c r="D12" s="45" t="n">
        <x:v>50</x:v>
      </x:c>
      <x:c r="E12" s="45" t="n">
        <x:v>0</x:v>
      </x:c>
      <x:c r="F12" s="45" t="n">
        <x:v>5</x:v>
      </x:c>
      <x:c r="G12" s="45" t="n">
        <x:v>0</x:v>
      </x:c>
      <x:c r="H12" s="45" t="str">
        <x:v>REPONER</x:v>
      </x:c>
      <x:c r="I12" s="55"/>
    </x:row>
    <x:row r="13">
      <x:c r="A13" s="78" t="str">
        <x:v>D001</x:v>
      </x:c>
      <x:c r="B13" s="45" t="str">
        <x:v>SKU-CAC-U</x:v>
      </x:c>
      <x:c r="C13" s="45" t="n">
        <x:v>12</x:v>
      </x:c>
      <x:c r="D13" s="45" t="n">
        <x:v>10</x:v>
      </x:c>
      <x:c r="E13" s="45" t="n">
        <x:v>2</x:v>
      </x:c>
      <x:c r="F13" s="45" t="n">
        <x:v>3</x:v>
      </x:c>
      <x:c r="G13" s="45" t="n">
        <x:v>0.6666666666666666</x:v>
      </x:c>
      <x:c r="H13" s="45" t="str">
        <x:v>REPONER</x:v>
      </x:c>
      <x:c r="I13" s="55"/>
    </x:row>
    <x:row r="14">
      <x:c r="A14" s="79" t="str">
        <x:v>H001</x:v>
      </x:c>
      <x:c r="B14" s="57" t="str">
        <x:v>SKU-MAN-4</x:v>
      </x:c>
      <x:c r="C14" s="57" t="n">
        <x:v>10</x:v>
      </x:c>
      <x:c r="D14" s="57" t="n">
        <x:v>8</x:v>
      </x:c>
      <x:c r="E14" s="57" t="n">
        <x:v>2</x:v>
      </x:c>
      <x:c r="F14" s="57" t="n">
        <x:v>2</x:v>
      </x:c>
      <x:c r="G14" s="57" t="n">
        <x:v>1</x:v>
      </x:c>
      <x:c r="H14" s="57" t="str">
        <x:v>REPONER</x:v>
      </x:c>
      <x:c r="I14" s="58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6.130000114440918" hidden="0" customWidth="1"/>
    <x:col min="3" max="3" width="9.25" hidden="0" customWidth="1"/>
    <x:col min="4" max="4" width="14.5" hidden="0" customWidth="1"/>
    <x:col min="5" max="5" width="17.5" hidden="0" customWidth="1"/>
    <x:col min="6" max="6" width="13.880000114440918" hidden="0" customWidth="1"/>
    <x:col min="7" max="7" width="12.880000114440918" hidden="0" customWidth="1"/>
    <x:col min="8" max="8" width="9.25" hidden="0" customWidth="1"/>
    <x:col min="9" max="9" width="9.380000114440918" hidden="0" customWidth="1"/>
    <x:col min="10" max="10" width="11.380000114440918" hidden="0" customWidth="1"/>
    <x:col min="11" max="11" width="11.5" hidden="0" customWidth="1"/>
    <x:col min="12" max="12" width="11.5" hidden="0" customWidth="1"/>
    <x:col min="13" max="13" width="12.880000114440918" hidden="0" customWidth="1"/>
    <x:col min="14" max="14" width="11.630000114440918" hidden="0" customWidth="1"/>
    <x:col min="15" max="15" width="10" hidden="0" customWidth="1"/>
    <x:col min="16" max="16" width="7.880000114440918" hidden="0" customWidth="1"/>
    <x:col min="17" max="17" width="12.75" hidden="0" customWidth="1"/>
  </x:cols>
  <x:sheetData>
    <x:row r="1">
      <x:c r="A1" s="65" t="str">
        <x:v>Fecha</x:v>
      </x:c>
      <x:c r="B1" s="66" t="str">
        <x:v>ID_PDV</x:v>
      </x:c>
      <x:c r="C1" s="66" t="str">
        <x:v>Resp</x:v>
      </x:c>
      <x:c r="D1" s="66" t="str">
        <x:v>Formato_Presente</x:v>
      </x:c>
      <x:c r="E1" s="66" t="str">
        <x:v>Stock_Entregado_Prev</x:v>
      </x:c>
      <x:c r="F1" s="66" t="str">
        <x:v>Stock_Observado</x:v>
      </x:c>
      <x:c r="G1" s="66" t="str">
        <x:v>Venta_Estimada</x:v>
      </x:c>
      <x:c r="H1" s="66" t="str">
        <x:v>Precio_Obs</x:v>
      </x:c>
      <x:c r="I1" s="66" t="str">
        <x:v>Ubicacion</x:v>
      </x:c>
      <x:c r="J1" s="66" t="str">
        <x:v>Calidad_Exhib</x:v>
      </x:c>
      <x:c r="K1" s="66" t="str">
        <x:v>Competidores</x:v>
      </x:c>
      <x:c r="L1" s="66" t="str">
        <x:v>Comentarios</x:v>
      </x:c>
      <x:c r="M1" s="66" t="str">
        <x:v>Necesita_Repos</x:v>
      </x:c>
      <x:c r="N1" s="66" t="str">
        <x:v>Cant_Sugerida</x:v>
      </x:c>
      <x:c r="O1" s="66" t="str">
        <x:v>Problema</x:v>
      </x:c>
      <x:c r="P1" s="66" t="str">
        <x:v>Foto_Link</x:v>
      </x:c>
      <x:c r="Q1" s="67" t="str">
        <x:v>Proxima_Accion</x:v>
      </x:c>
    </x:row>
    <x:row r="2">
      <x:c r="A2" s="78" t="n">
        <x:v>46210</x:v>
      </x:c>
      <x:c r="B2" s="45" t="str">
        <x:v>D001</x:v>
      </x:c>
      <x:c r="C2" s="45" t="str">
        <x:v>Ana Barra</x:v>
      </x:c>
      <x:c r="D2" s="45" t="str">
        <x:v>Ambos</x:v>
      </x:c>
      <x:c r="E2" s="72" t="n">
        <x:v>12</x:v>
      </x:c>
      <x:c r="F2" s="72" t="n">
        <x:v>4</x:v>
      </x:c>
      <x:c r="G2" s="70" t="n">
        <x:v>8</x:v>
      </x:c>
      <x:c r="H2" s="70" t="n">
        <x:v>1900</x:v>
      </x:c>
      <x:c r="I2" s="45" t="str">
        <x:v>Gondola bio</x:v>
      </x:c>
      <x:c r="J2" s="45" t="str">
        <x:v>Buena</x:v>
      </x:c>
      <x:c r="K2" s="45" t="str">
        <x:v>Barra X, Barra Y</x:v>
      </x:c>
      <x:c r="L2" s="45" t="str">
        <x:v>Buena rotacion</x:v>
      </x:c>
      <x:c r="M2" s="45" t="str">
        <x:v>Si</x:v>
      </x:c>
      <x:c r="N2" s="45" t="n">
        <x:v>8</x:v>
      </x:c>
      <x:c r="O2" s="45" t="str">
        <x:v>Ninguno</x:v>
      </x:c>
      <x:c r="P2" s="45"/>
      <x:c r="Q2" s="55" t="str">
        <x:v>Reponer 8</x:v>
      </x:c>
    </x:row>
    <x:row r="3">
      <x:c r="A3" s="79" t="n">
        <x:v>46212</x:v>
      </x:c>
      <x:c r="B3" s="57" t="str">
        <x:v>J001</x:v>
      </x:c>
      <x:c r="C3" s="57" t="str">
        <x:v>Jose Ignacio</x:v>
      </x:c>
      <x:c r="D3" s="57" t="str">
        <x:v>Estuche x4</x:v>
      </x:c>
      <x:c r="E3" s="73" t="n">
        <x:v>50</x:v>
      </x:c>
      <x:c r="F3" s="73" t="n">
        <x:v>45</x:v>
      </x:c>
      <x:c r="G3" s="71" t="n">
        <x:v>5</x:v>
      </x:c>
      <x:c r="H3" s="71" t="n">
        <x:v>5900</x:v>
      </x:c>
      <x:c r="I3" s="57" t="str">
        <x:v>Checkout</x:v>
      </x:c>
      <x:c r="J3" s="57" t="str">
        <x:v>Regular</x:v>
      </x:c>
      <x:c r="K3" s="57" t="str">
        <x:v>Competencia Z</x:v>
      </x:c>
      <x:c r="L3" s="57" t="str">
        <x:v>Revisar facing</x:v>
      </x:c>
      <x:c r="M3" s="57" t="str">
        <x:v>No</x:v>
      </x:c>
      <x:c r="N3" s="57" t="n">
        <x:v>0</x:v>
      </x:c>
      <x:c r="O3" s="57" t="str">
        <x:v>Baja rotacion</x:v>
      </x:c>
      <x:c r="P3" s="57"/>
      <x:c r="Q3" s="58" t="str">
        <x:v>Push exhibicion</x:v>
      </x:c>
    </x:row>
  </x:sheetData>
  <x:pageMargins left="0.7" right="0.7" top="0.75" bottom="0.75" header="0.3" footer="0.3"/>
  <x:tableParts count="1">
    <x:tablePart xmlns:r="http://schemas.openxmlformats.org/officeDocument/2006/relationships" r:id="R8afeb888a3754794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5.130000114440918" hidden="0" customWidth="1"/>
    <x:col min="3" max="3" width="9.25" hidden="0" customWidth="1"/>
    <x:col min="4" max="4" width="8.5" hidden="0" customWidth="1"/>
    <x:col min="5" max="5" width="6.130000114440918" hidden="0" customWidth="1"/>
    <x:col min="6" max="6" width="9.630000114440918" hidden="0" customWidth="1"/>
    <x:col min="7" max="7" width="18.8799991607666" hidden="0" customWidth="1"/>
    <x:col min="8" max="8" width="10.880000114440918" hidden="0" customWidth="1"/>
    <x:col min="9" max="9" width="12.75" hidden="0" customWidth="1"/>
    <x:col min="10" max="10" width="12.130000114440918" hidden="0" customWidth="1"/>
  </x:cols>
  <x:sheetData>
    <x:row r="1">
      <x:c r="A1" s="65" t="str">
        <x:v>ID_Visita</x:v>
      </x:c>
      <x:c r="B1" s="66" t="str">
        <x:v>Fecha</x:v>
      </x:c>
      <x:c r="C1" s="66" t="str">
        <x:v>Resp</x:v>
      </x:c>
      <x:c r="D1" s="66" t="str">
        <x:v>ID_Cliente</x:v>
      </x:c>
      <x:c r="E1" s="66" t="str">
        <x:v>ID_PDV</x:v>
      </x:c>
      <x:c r="F1" s="66" t="str">
        <x:v>Motivo</x:v>
      </x:c>
      <x:c r="G1" s="66" t="str">
        <x:v>Objetivo</x:v>
      </x:c>
      <x:c r="H1" s="66" t="str">
        <x:v>Estado_Visita</x:v>
      </x:c>
      <x:c r="I1" s="66" t="str">
        <x:v>Proxima_Accion</x:v>
      </x:c>
      <x:c r="J1" s="67" t="str">
        <x:v>Fecha_Proxima</x:v>
      </x:c>
    </x:row>
    <x:row r="2">
      <x:c r="A2" s="54" t="str">
        <x:v>V001</x:v>
      </x:c>
      <x:c r="B2" s="72" t="n">
        <x:v>46210</x:v>
      </x:c>
      <x:c r="C2" s="45" t="str">
        <x:v>Ana Barra</x:v>
      </x:c>
      <x:c r="D2" s="45" t="str">
        <x:v>CL-DEL</x:v>
      </x:c>
      <x:c r="E2" s="45" t="str">
        <x:v>D001</x:v>
      </x:c>
      <x:c r="F2" s="45" t="str">
        <x:v>Reposicion</x:v>
      </x:c>
      <x:c r="G2" s="45" t="str">
        <x:v>Reponer y medir rotacion</x:v>
      </x:c>
      <x:c r="H2" s="45" t="str">
        <x:v>Planificada</x:v>
      </x:c>
      <x:c r="I2" s="45" t="str">
        <x:v>Conteo fisico</x:v>
      </x:c>
      <x:c r="J2" s="74" t="n">
        <x:v>46224</x:v>
      </x:c>
    </x:row>
    <x:row r="3">
      <x:c r="A3" s="54" t="str">
        <x:v>V002</x:v>
      </x:c>
      <x:c r="B3" s="72" t="n">
        <x:v>46211</x:v>
      </x:c>
      <x:c r="C3" s="45" t="str">
        <x:v>Jose Ignacio</x:v>
      </x:c>
      <x:c r="D3" s="45" t="str">
        <x:v>CL-RITZ</x:v>
      </x:c>
      <x:c r="E3" s="45" t="str">
        <x:v>H001</x:v>
      </x:c>
      <x:c r="F3" s="45" t="str">
        <x:v>Seguimiento</x:v>
      </x:c>
      <x:c r="G3" s="45" t="str">
        <x:v>Validar exhibicion</x:v>
      </x:c>
      <x:c r="H3" s="45" t="str">
        <x:v>Planificada</x:v>
      </x:c>
      <x:c r="I3" s="45" t="str">
        <x:v>Pedido reorden</x:v>
      </x:c>
      <x:c r="J3" s="74" t="n">
        <x:v>46242</x:v>
      </x:c>
    </x:row>
    <x:row r="4">
      <x:c r="A4" s="56" t="str">
        <x:v>V003</x:v>
      </x:c>
      <x:c r="B4" s="73" t="n">
        <x:v>46212</x:v>
      </x:c>
      <x:c r="C4" s="57" t="str">
        <x:v>Jose Ignacio</x:v>
      </x:c>
      <x:c r="D4" s="57" t="str">
        <x:v>CL-CEN</x:v>
      </x:c>
      <x:c r="E4" s="57" t="str">
        <x:v>J001</x:v>
      </x:c>
      <x:c r="F4" s="57" t="str">
        <x:v>Retail</x:v>
      </x:c>
      <x:c r="G4" s="57" t="str">
        <x:v>Revisar gondola y sell-out</x:v>
      </x:c>
      <x:c r="H4" s="57" t="str">
        <x:v>Realizada</x:v>
      </x:c>
      <x:c r="I4" s="57" t="str">
        <x:v>Levantar OC</x:v>
      </x:c>
      <x:c r="J4" s="75" t="n">
        <x:v>46219</x:v>
      </x:c>
    </x:row>
  </x:sheetData>
  <x:pageMargins left="0.7" right="0.7" top="0.75" bottom="0.75" header="0.3" footer="0.3"/>
  <x:tableParts count="1">
    <x:tablePart xmlns:r="http://schemas.openxmlformats.org/officeDocument/2006/relationships" r:id="Rebff13f9ad384e6e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15.130000114440918" hidden="0" customWidth="1"/>
    <x:col min="3" max="3" width="15.25" hidden="0" customWidth="1"/>
    <x:col min="4" max="4" width="10.5" hidden="0" customWidth="1"/>
    <x:col min="5" max="5" width="9.5" hidden="0" customWidth="1"/>
    <x:col min="6" max="6" width="10.75" hidden="0" customWidth="1"/>
    <x:col min="7" max="7" width="7.380000114440918" hidden="0" customWidth="1"/>
    <x:col min="8" max="8" width="10.130000114440918" hidden="0" customWidth="1"/>
    <x:col min="9" max="9" width="9.380000114440918" hidden="0" customWidth="1"/>
    <x:col min="10" max="10" width="7.5" hidden="0" customWidth="1"/>
  </x:cols>
  <x:sheetData>
    <x:row r="1">
      <x:c r="A1" s="65" t="str">
        <x:v>ID_PDV</x:v>
      </x:c>
      <x:c r="B1" s="66" t="str">
        <x:v>Calce_Consumidor</x:v>
      </x:c>
      <x:c r="C1" s="66" t="str">
        <x:v>Potencial_Rotacion</x:v>
      </x:c>
      <x:c r="D1" s="66" t="str">
        <x:v>Facilidad_Op</x:v>
      </x:c>
      <x:c r="E1" s="66" t="str">
        <x:v>Aprendizaje</x:v>
      </x:c>
      <x:c r="F1" s="66" t="str">
        <x:v>Riesgo_Stock</x:v>
      </x:c>
      <x:c r="G1" s="66" t="str">
        <x:v>Cercania</x:v>
      </x:c>
      <x:c r="H1" s="66" t="str">
        <x:v>Condiciones</x:v>
      </x:c>
      <x:c r="I1" s="66" t="str">
        <x:v>Score_Total</x:v>
      </x:c>
      <x:c r="J1" s="67" t="str">
        <x:v>Prioridad</x:v>
      </x:c>
    </x:row>
    <x:row r="2">
      <x:c r="A2" s="54" t="str">
        <x:v>J001</x:v>
      </x:c>
      <x:c r="B2" s="45" t="n">
        <x:v>5</x:v>
      </x:c>
      <x:c r="C2" s="88" t="n">
        <x:v>5</x:v>
      </x:c>
      <x:c r="D2" s="45" t="n">
        <x:v>4</x:v>
      </x:c>
      <x:c r="E2" s="45" t="n">
        <x:v>5</x:v>
      </x:c>
      <x:c r="F2" s="72" t="n">
        <x:v>-3</x:v>
      </x:c>
      <x:c r="G2" s="45" t="n">
        <x:v>4</x:v>
      </x:c>
      <x:c r="H2" s="45" t="n">
        <x:v>4</x:v>
      </x:c>
      <x:c r="I2" s="68" t="n">
        <x:v>10</x:v>
      </x:c>
      <x:c r="J2" s="55" t="str">
        <x:v>Baja</x:v>
      </x:c>
    </x:row>
    <x:row r="3">
      <x:c r="A3" s="54" t="str">
        <x:v>D001</x:v>
      </x:c>
      <x:c r="B3" s="45" t="n">
        <x:v>5</x:v>
      </x:c>
      <x:c r="C3" s="88" t="n">
        <x:v>4</x:v>
      </x:c>
      <x:c r="D3" s="45" t="n">
        <x:v>5</x:v>
      </x:c>
      <x:c r="E3" s="45" t="n">
        <x:v>4</x:v>
      </x:c>
      <x:c r="F3" s="72" t="n">
        <x:v>-1</x:v>
      </x:c>
      <x:c r="G3" s="45" t="n">
        <x:v>5</x:v>
      </x:c>
      <x:c r="H3" s="45" t="n">
        <x:v>5</x:v>
      </x:c>
      <x:c r="I3" s="68" t="n">
        <x:v>14</x:v>
      </x:c>
      <x:c r="J3" s="55" t="str">
        <x:v>Media</x:v>
      </x:c>
    </x:row>
    <x:row r="4">
      <x:c r="A4" s="54" t="str">
        <x:v>AN01</x:v>
      </x:c>
      <x:c r="B4" s="45" t="n">
        <x:v>4</x:v>
      </x:c>
      <x:c r="C4" s="88" t="n">
        <x:v>4</x:v>
      </x:c>
      <x:c r="D4" s="45" t="n">
        <x:v>5</x:v>
      </x:c>
      <x:c r="E4" s="45" t="n">
        <x:v>4</x:v>
      </x:c>
      <x:c r="F4" s="72" t="n">
        <x:v>-1</x:v>
      </x:c>
      <x:c r="G4" s="45" t="n">
        <x:v>5</x:v>
      </x:c>
      <x:c r="H4" s="45" t="n">
        <x:v>4</x:v>
      </x:c>
      <x:c r="I4" s="68" t="n">
        <x:v>12</x:v>
      </x:c>
      <x:c r="J4" s="55" t="str">
        <x:v>Media</x:v>
      </x:c>
    </x:row>
    <x:row r="5">
      <x:c r="A5" s="54" t="str">
        <x:v>P001</x:v>
      </x:c>
      <x:c r="B5" s="45" t="n">
        <x:v>3</x:v>
      </x:c>
      <x:c r="C5" s="88" t="n">
        <x:v>3</x:v>
      </x:c>
      <x:c r="D5" s="45" t="n">
        <x:v>4</x:v>
      </x:c>
      <x:c r="E5" s="45" t="n">
        <x:v>3</x:v>
      </x:c>
      <x:c r="F5" s="72" t="n">
        <x:v>-1</x:v>
      </x:c>
      <x:c r="G5" s="45" t="n">
        <x:v>3</x:v>
      </x:c>
      <x:c r="H5" s="45" t="n">
        <x:v>4</x:v>
      </x:c>
      <x:c r="I5" s="68" t="n">
        <x:v>9</x:v>
      </x:c>
      <x:c r="J5" s="55" t="str">
        <x:v>Baja</x:v>
      </x:c>
    </x:row>
    <x:row r="6">
      <x:c r="A6" s="54" t="str">
        <x:v>H001</x:v>
      </x:c>
      <x:c r="B6" s="45" t="n">
        <x:v>5</x:v>
      </x:c>
      <x:c r="C6" s="88" t="n">
        <x:v>3</x:v>
      </x:c>
      <x:c r="D6" s="45" t="n">
        <x:v>3</x:v>
      </x:c>
      <x:c r="E6" s="45" t="n">
        <x:v>4</x:v>
      </x:c>
      <x:c r="F6" s="72" t="n">
        <x:v>-1</x:v>
      </x:c>
      <x:c r="G6" s="45" t="n">
        <x:v>3</x:v>
      </x:c>
      <x:c r="H6" s="45" t="n">
        <x:v>4</x:v>
      </x:c>
      <x:c r="I6" s="68" t="n">
        <x:v>11</x:v>
      </x:c>
      <x:c r="J6" s="55" t="str">
        <x:v>Baja</x:v>
      </x:c>
    </x:row>
    <x:row r="7">
      <x:c r="A7" s="56" t="str">
        <x:v>F001</x:v>
      </x:c>
      <x:c r="B7" s="57" t="n">
        <x:v>4</x:v>
      </x:c>
      <x:c r="C7" s="89" t="n">
        <x:v>4</x:v>
      </x:c>
      <x:c r="D7" s="57" t="n">
        <x:v>4</x:v>
      </x:c>
      <x:c r="E7" s="57" t="n">
        <x:v>3</x:v>
      </x:c>
      <x:c r="F7" s="73" t="n">
        <x:v>-2</x:v>
      </x:c>
      <x:c r="G7" s="57" t="n">
        <x:v>4</x:v>
      </x:c>
      <x:c r="H7" s="57" t="n">
        <x:v>4</x:v>
      </x:c>
      <x:c r="I7" s="69" t="n">
        <x:v>10</x:v>
      </x:c>
      <x:c r="J7" s="58" t="str">
        <x:v>Baja</x:v>
      </x:c>
    </x:row>
  </x:sheetData>
  <x:pageMargins left="0.7" right="0.7" top="0.75" bottom="0.75" header="0.3" footer="0.3"/>
  <x:tableParts count="1">
    <x:tablePart xmlns:r="http://schemas.openxmlformats.org/officeDocument/2006/relationships" r:id="Re306444b736b4841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76" hidden="0" customWidth="1"/>
    <x:col min="2" max="2" width="16" hidden="0" customWidth="1"/>
    <x:col min="3" max="3" width="5.25" hidden="0" customWidth="1"/>
    <x:col min="4" max="4" width="8.380000114440918" hidden="0" customWidth="1"/>
    <x:col min="5" max="5" width="7.75" hidden="0" customWidth="1"/>
    <x:col min="6" max="6" width="10" hidden="0" customWidth="1"/>
    <x:col min="7" max="7" width="9" hidden="0" customWidth="1"/>
    <x:col min="8" max="8" width="11.880000114440918" hidden="0" customWidth="1"/>
    <x:col min="9" max="9" width="11.5" hidden="0" customWidth="1"/>
    <x:col min="10" max="10" width="5.25" hidden="0" customWidth="1"/>
  </x:cols>
  <x:sheetData>
    <x:row r="1">
      <x:c r="A1" s="65" t="str">
        <x:v>SKU</x:v>
      </x:c>
      <x:c r="B1" s="66" t="str">
        <x:v>Descripcion</x:v>
      </x:c>
      <x:c r="C1" s="66" t="str">
        <x:v>Sabor</x:v>
      </x:c>
      <x:c r="D1" s="66" t="str">
        <x:v>Formato</x:v>
      </x:c>
      <x:c r="E1" s="66" t="str">
        <x:v>PVP_cIVA</x:v>
      </x:c>
      <x:c r="F1" s="66" t="str">
        <x:v>PVP_Neto</x:v>
      </x:c>
      <x:c r="G1" s="66" t="str">
        <x:v>Costo_Unit</x:v>
      </x:c>
      <x:c r="H1" s="66" t="str">
        <x:v>Vigente_Desde</x:v>
      </x:c>
      <x:c r="I1" s="66" t="str">
        <x:v>Vigente_Hasta</x:v>
      </x:c>
      <x:c r="J1" s="67" t="str">
        <x:v>Activo</x:v>
      </x:c>
    </x:row>
    <x:row r="2">
      <x:c r="A2" s="54" t="str">
        <x:v>SKU-CAC-U</x:v>
      </x:c>
      <x:c r="B2" s="45" t="str">
        <x:v>Barra Cacao 35g</x:v>
      </x:c>
      <x:c r="C2" s="45" t="str">
        <x:v>Cacao</x:v>
      </x:c>
      <x:c r="D2" s="45" t="str">
        <x:v>Unitaria</x:v>
      </x:c>
      <x:c r="E2" s="70" t="n">
        <x:v>1990</x:v>
      </x:c>
      <x:c r="F2" s="70" t="n">
        <x:v>1672.2689075630253</x:v>
      </x:c>
      <x:c r="G2" s="70" t="n">
        <x:v>250</x:v>
      </x:c>
      <x:c r="H2" s="72" t="n">
        <x:v>46023</x:v>
      </x:c>
      <x:c r="I2" s="72"/>
      <x:c r="J2" s="55" t="str">
        <x:v>Si</x:v>
      </x:c>
    </x:row>
    <x:row r="3">
      <x:c r="A3" s="54" t="str">
        <x:v>SKU-MAN-U</x:v>
      </x:c>
      <x:c r="B3" s="45" t="str">
        <x:v>Barra Mani 35g</x:v>
      </x:c>
      <x:c r="C3" s="45" t="str">
        <x:v>Mani</x:v>
      </x:c>
      <x:c r="D3" s="45" t="str">
        <x:v>Unitaria</x:v>
      </x:c>
      <x:c r="E3" s="70" t="n">
        <x:v>1990</x:v>
      </x:c>
      <x:c r="F3" s="70" t="n">
        <x:v>1672.2689075630253</x:v>
      </x:c>
      <x:c r="G3" s="70" t="n">
        <x:v>250</x:v>
      </x:c>
      <x:c r="H3" s="72" t="n">
        <x:v>46023</x:v>
      </x:c>
      <x:c r="I3" s="72"/>
      <x:c r="J3" s="55" t="str">
        <x:v>Si</x:v>
      </x:c>
    </x:row>
    <x:row r="4">
      <x:c r="A4" s="54" t="str">
        <x:v>SKU-FRU-U</x:v>
      </x:c>
      <x:c r="B4" s="45" t="str">
        <x:v>Barra Frutal 35g</x:v>
      </x:c>
      <x:c r="C4" s="45" t="str">
        <x:v>Frutal</x:v>
      </x:c>
      <x:c r="D4" s="45" t="str">
        <x:v>Unitaria</x:v>
      </x:c>
      <x:c r="E4" s="70" t="n">
        <x:v>1990</x:v>
      </x:c>
      <x:c r="F4" s="70" t="n">
        <x:v>1672.2689075630253</x:v>
      </x:c>
      <x:c r="G4" s="70" t="n">
        <x:v>250</x:v>
      </x:c>
      <x:c r="H4" s="72" t="n">
        <x:v>46023</x:v>
      </x:c>
      <x:c r="I4" s="72"/>
      <x:c r="J4" s="55" t="str">
        <x:v>Si</x:v>
      </x:c>
    </x:row>
    <x:row r="5">
      <x:c r="A5" s="54" t="str">
        <x:v>SKU-CAC-4</x:v>
      </x:c>
      <x:c r="B5" s="45" t="str">
        <x:v>Estuche Cacao 4x35g</x:v>
      </x:c>
      <x:c r="C5" s="45" t="str">
        <x:v>Cacao</x:v>
      </x:c>
      <x:c r="D5" s="45" t="str">
        <x:v>Estuche x4</x:v>
      </x:c>
      <x:c r="E5" s="70" t="n">
        <x:v>5990</x:v>
      </x:c>
      <x:c r="F5" s="70" t="n">
        <x:v>5033.6134453781515</x:v>
      </x:c>
      <x:c r="G5" s="70" t="n">
        <x:v>1000</x:v>
      </x:c>
      <x:c r="H5" s="72" t="n">
        <x:v>46023</x:v>
      </x:c>
      <x:c r="I5" s="72"/>
      <x:c r="J5" s="55" t="str">
        <x:v>Si</x:v>
      </x:c>
    </x:row>
    <x:row r="6">
      <x:c r="A6" s="54" t="str">
        <x:v>SKU-MAN-4</x:v>
      </x:c>
      <x:c r="B6" s="45" t="str">
        <x:v>Estuche Mani 4x35g</x:v>
      </x:c>
      <x:c r="C6" s="45" t="str">
        <x:v>Mani</x:v>
      </x:c>
      <x:c r="D6" s="45" t="str">
        <x:v>Estuche x4</x:v>
      </x:c>
      <x:c r="E6" s="70" t="n">
        <x:v>5990</x:v>
      </x:c>
      <x:c r="F6" s="70" t="n">
        <x:v>5033.6134453781515</x:v>
      </x:c>
      <x:c r="G6" s="70" t="n">
        <x:v>1000</x:v>
      </x:c>
      <x:c r="H6" s="72" t="n">
        <x:v>46023</x:v>
      </x:c>
      <x:c r="I6" s="72"/>
      <x:c r="J6" s="55" t="str">
        <x:v>Si</x:v>
      </x:c>
    </x:row>
    <x:row r="7">
      <x:c r="A7" s="54" t="str">
        <x:v>SKU-FRU-4</x:v>
      </x:c>
      <x:c r="B7" s="45" t="str">
        <x:v>Estuche Frutal 4x35g</x:v>
      </x:c>
      <x:c r="C7" s="45" t="str">
        <x:v>Frutal</x:v>
      </x:c>
      <x:c r="D7" s="45" t="str">
        <x:v>Estuche x4</x:v>
      </x:c>
      <x:c r="E7" s="70" t="n">
        <x:v>5990</x:v>
      </x:c>
      <x:c r="F7" s="70" t="n">
        <x:v>5033.6134453781515</x:v>
      </x:c>
      <x:c r="G7" s="70" t="n">
        <x:v>1000</x:v>
      </x:c>
      <x:c r="H7" s="72" t="n">
        <x:v>46023</x:v>
      </x:c>
      <x:c r="I7" s="72"/>
      <x:c r="J7" s="55" t="str">
        <x:v>Si</x:v>
      </x:c>
    </x:row>
    <x:row r="8">
      <x:c r="A8" s="54"/>
      <x:c r="B8" s="45"/>
      <x:c r="C8" s="45"/>
      <x:c r="D8" s="45"/>
      <x:c r="E8" s="70"/>
      <x:c r="F8" s="70"/>
      <x:c r="G8" s="70"/>
      <x:c r="H8" s="72"/>
      <x:c r="I8" s="72"/>
      <x:c r="J8" s="55"/>
    </x:row>
    <x:row r="9">
      <x:c r="A9" s="54" t="str">
        <x:v>Nota: habra 3er precio futuro (estuche ~6490) y descuentos 20-30%. Versionar con Vigente_Desde/Hasta.</x:v>
      </x:c>
      <x:c r="B9" s="45"/>
      <x:c r="C9" s="45"/>
      <x:c r="D9" s="45"/>
      <x:c r="E9" s="70"/>
      <x:c r="F9" s="70"/>
      <x:c r="G9" s="70"/>
      <x:c r="H9" s="72"/>
      <x:c r="I9" s="72"/>
      <x:c r="J9" s="55"/>
    </x:row>
    <x:row r="10">
      <x:c r="A10" s="56" t="str">
        <x:v>Precio premium (clientes que pagan mas): unitaria 2190 / estuche 6490. Aplicar por cliente/canal.</x:v>
      </x:c>
      <x:c r="B10" s="57"/>
      <x:c r="C10" s="57"/>
      <x:c r="D10" s="57"/>
      <x:c r="E10" s="71"/>
      <x:c r="F10" s="71"/>
      <x:c r="G10" s="71"/>
      <x:c r="H10" s="73"/>
      <x:c r="I10" s="73"/>
      <x:c r="J10" s="58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8.5" hidden="0" customWidth="1"/>
    <x:col min="3" max="3" width="18.3799991607666" hidden="0" customWidth="1"/>
    <x:col min="4" max="4" width="10.25" hidden="0" customWidth="1"/>
    <x:col min="5" max="5" width="5.75" hidden="0" customWidth="1"/>
    <x:col min="6" max="6" width="9.25" hidden="0" customWidth="1"/>
    <x:col min="7" max="7" width="7.880000114440918" hidden="0" customWidth="1"/>
    <x:col min="8" max="8" width="13" hidden="0" customWidth="1"/>
    <x:col min="9" max="9" width="14.130000114440918" hidden="0" customWidth="1"/>
    <x:col min="10" max="10" width="11.880000114440918" hidden="0" customWidth="1"/>
    <x:col min="11" max="11" width="8" hidden="0" customWidth="1"/>
    <x:col min="12" max="12" width="8" hidden="0" customWidth="1"/>
    <x:col min="13" max="13" width="7.880000114440918" hidden="0" customWidth="1"/>
  </x:cols>
  <x:sheetData>
    <x:row r="1">
      <x:c r="A1" s="65" t="str">
        <x:v>ID_PDV</x:v>
      </x:c>
      <x:c r="B1" s="66" t="str">
        <x:v>ID_Cliente</x:v>
      </x:c>
      <x:c r="C1" s="66" t="str">
        <x:v>Nombre_PDV</x:v>
      </x:c>
      <x:c r="D1" s="66" t="str">
        <x:v>Comuna</x:v>
      </x:c>
      <x:c r="E1" s="66" t="str">
        <x:v>Region</x:v>
      </x:c>
      <x:c r="F1" s="66" t="str">
        <x:v>Resp</x:v>
      </x:c>
      <x:c r="G1" s="66" t="str">
        <x:v>Estado</x:v>
      </x:c>
      <x:c r="H1" s="66" t="str">
        <x:v>Formato_Recom</x:v>
      </x:c>
      <x:c r="I1" s="66" t="str">
        <x:v>Frecuencia_Visita</x:v>
      </x:c>
      <x:c r="J1" s="66" t="str">
        <x:v>Fecha_Entrada</x:v>
      </x:c>
      <x:c r="K1" s="66" t="str">
        <x:v>Meta_Ago</x:v>
      </x:c>
      <x:c r="L1" s="66" t="str">
        <x:v>Meta_Sep</x:v>
      </x:c>
      <x:c r="M1" s="67" t="str">
        <x:v>Meta_Oct</x:v>
      </x:c>
    </x:row>
    <x:row r="2">
      <x:c r="A2" s="54" t="str">
        <x:v>J001</x:v>
      </x:c>
      <x:c r="B2" s="45" t="str">
        <x:v>CL-CEN</x:v>
      </x:c>
      <x:c r="C2" s="45" t="str">
        <x:v>Jumbo Parque Arauco</x:v>
      </x:c>
      <x:c r="D2" s="45" t="str">
        <x:v>Las Condes</x:v>
      </x:c>
      <x:c r="E2" s="45" t="str">
        <x:v>RM</x:v>
      </x:c>
      <x:c r="F2" s="45" t="str">
        <x:v>Jose Ignacio</x:v>
      </x:c>
      <x:c r="G2" s="45" t="str">
        <x:v>Activo</x:v>
      </x:c>
      <x:c r="H2" s="45" t="str">
        <x:v>Estuche x4</x:v>
      </x:c>
      <x:c r="I2" s="45" t="str">
        <x:v>Semanal</x:v>
      </x:c>
      <x:c r="J2" s="72" t="n">
        <x:v>46235</x:v>
      </x:c>
      <x:c r="K2" s="68" t="n">
        <x:v>100</x:v>
      </x:c>
      <x:c r="L2" s="68" t="n">
        <x:v>120</x:v>
      </x:c>
      <x:c r="M2" s="74" t="n">
        <x:v>140</x:v>
      </x:c>
    </x:row>
    <x:row r="3">
      <x:c r="A3" s="54" t="str">
        <x:v>J002</x:v>
      </x:c>
      <x:c r="B3" s="45" t="str">
        <x:v>CL-CEN</x:v>
      </x:c>
      <x:c r="C3" s="45" t="str">
        <x:v>Jumbo Alto Las Condes</x:v>
      </x:c>
      <x:c r="D3" s="45" t="str">
        <x:v>Las Condes</x:v>
      </x:c>
      <x:c r="E3" s="45" t="str">
        <x:v>RM</x:v>
      </x:c>
      <x:c r="F3" s="45" t="str">
        <x:v>Jose Ignacio</x:v>
      </x:c>
      <x:c r="G3" s="45" t="str">
        <x:v>Activo</x:v>
      </x:c>
      <x:c r="H3" s="45" t="str">
        <x:v>Estuche x4</x:v>
      </x:c>
      <x:c r="I3" s="45" t="str">
        <x:v>Semanal</x:v>
      </x:c>
      <x:c r="J3" s="72" t="n">
        <x:v>46235</x:v>
      </x:c>
      <x:c r="K3" s="68" t="n">
        <x:v>100</x:v>
      </x:c>
      <x:c r="L3" s="68" t="n">
        <x:v>120</x:v>
      </x:c>
      <x:c r="M3" s="74" t="n">
        <x:v>140</x:v>
      </x:c>
    </x:row>
    <x:row r="4">
      <x:c r="A4" s="54" t="str">
        <x:v>J003</x:v>
      </x:c>
      <x:c r="B4" s="45" t="str">
        <x:v>CL-CEN</x:v>
      </x:c>
      <x:c r="C4" s="45" t="str">
        <x:v>Jumbo Kennedy</x:v>
      </x:c>
      <x:c r="D4" s="45" t="str">
        <x:v>Las Condes</x:v>
      </x:c>
      <x:c r="E4" s="45" t="str">
        <x:v>RM</x:v>
      </x:c>
      <x:c r="F4" s="45" t="str">
        <x:v>Jose Ignacio</x:v>
      </x:c>
      <x:c r="G4" s="45" t="str">
        <x:v>Activo</x:v>
      </x:c>
      <x:c r="H4" s="45" t="str">
        <x:v>Estuche x4</x:v>
      </x:c>
      <x:c r="I4" s="45" t="str">
        <x:v>Semanal</x:v>
      </x:c>
      <x:c r="J4" s="72" t="n">
        <x:v>46235</x:v>
      </x:c>
      <x:c r="K4" s="68" t="n">
        <x:v>100</x:v>
      </x:c>
      <x:c r="L4" s="68" t="n">
        <x:v>120</x:v>
      </x:c>
      <x:c r="M4" s="74" t="n">
        <x:v>140</x:v>
      </x:c>
    </x:row>
    <x:row r="5">
      <x:c r="A5" s="54" t="str">
        <x:v>J004</x:v>
      </x:c>
      <x:c r="B5" s="45" t="str">
        <x:v>CL-CEN</x:v>
      </x:c>
      <x:c r="C5" s="45" t="str">
        <x:v>Jumbo Bilbao</x:v>
      </x:c>
      <x:c r="D5" s="45" t="str">
        <x:v>Providencia</x:v>
      </x:c>
      <x:c r="E5" s="45" t="str">
        <x:v>RM</x:v>
      </x:c>
      <x:c r="F5" s="45" t="str">
        <x:v>Jose Ignacio</x:v>
      </x:c>
      <x:c r="G5" s="45" t="str">
        <x:v>Activo</x:v>
      </x:c>
      <x:c r="H5" s="45" t="str">
        <x:v>Estuche x4</x:v>
      </x:c>
      <x:c r="I5" s="45" t="str">
        <x:v>Semanal</x:v>
      </x:c>
      <x:c r="J5" s="72" t="n">
        <x:v>46235</x:v>
      </x:c>
      <x:c r="K5" s="68" t="n">
        <x:v>100</x:v>
      </x:c>
      <x:c r="L5" s="68" t="n">
        <x:v>120</x:v>
      </x:c>
      <x:c r="M5" s="74" t="n">
        <x:v>140</x:v>
      </x:c>
    </x:row>
    <x:row r="6">
      <x:c r="A6" s="54" t="str">
        <x:v>J005</x:v>
      </x:c>
      <x:c r="B6" s="45" t="str">
        <x:v>CL-CEN</x:v>
      </x:c>
      <x:c r="C6" s="45" t="str">
        <x:v>Jumbo Los Dominicos</x:v>
      </x:c>
      <x:c r="D6" s="45" t="str">
        <x:v>Las Condes</x:v>
      </x:c>
      <x:c r="E6" s="45" t="str">
        <x:v>RM</x:v>
      </x:c>
      <x:c r="F6" s="45" t="str">
        <x:v>Jose Ignacio</x:v>
      </x:c>
      <x:c r="G6" s="45" t="str">
        <x:v>Activo</x:v>
      </x:c>
      <x:c r="H6" s="45" t="str">
        <x:v>Estuche x4</x:v>
      </x:c>
      <x:c r="I6" s="45" t="str">
        <x:v>Semanal</x:v>
      </x:c>
      <x:c r="J6" s="72" t="n">
        <x:v>46235</x:v>
      </x:c>
      <x:c r="K6" s="68" t="n">
        <x:v>100</x:v>
      </x:c>
      <x:c r="L6" s="68" t="n">
        <x:v>120</x:v>
      </x:c>
      <x:c r="M6" s="74" t="n">
        <x:v>140</x:v>
      </x:c>
    </x:row>
    <x:row r="7">
      <x:c r="A7" s="54" t="str">
        <x:v>J006</x:v>
      </x:c>
      <x:c r="B7" s="45" t="str">
        <x:v>CL-CEN</x:v>
      </x:c>
      <x:c r="C7" s="45" t="str">
        <x:v>Jumbo Portal La Reina</x:v>
      </x:c>
      <x:c r="D7" s="45" t="str">
        <x:v>La Reina</x:v>
      </x:c>
      <x:c r="E7" s="45" t="str">
        <x:v>RM</x:v>
      </x:c>
      <x:c r="F7" s="45" t="str">
        <x:v>Jose Ignacio</x:v>
      </x:c>
      <x:c r="G7" s="45" t="str">
        <x:v>Activo</x:v>
      </x:c>
      <x:c r="H7" s="45" t="str">
        <x:v>Estuche x4</x:v>
      </x:c>
      <x:c r="I7" s="45" t="str">
        <x:v>Semanal</x:v>
      </x:c>
      <x:c r="J7" s="72" t="n">
        <x:v>46235</x:v>
      </x:c>
      <x:c r="K7" s="68" t="n">
        <x:v>100</x:v>
      </x:c>
      <x:c r="L7" s="68" t="n">
        <x:v>120</x:v>
      </x:c>
      <x:c r="M7" s="74" t="n">
        <x:v>140</x:v>
      </x:c>
    </x:row>
    <x:row r="8">
      <x:c r="A8" s="54" t="str">
        <x:v>J007</x:v>
      </x:c>
      <x:c r="B8" s="45" t="str">
        <x:v>CL-CEN</x:v>
      </x:c>
      <x:c r="C8" s="45" t="str">
        <x:v>Jumbo La Florida</x:v>
      </x:c>
      <x:c r="D8" s="45" t="str">
        <x:v>La Florida</x:v>
      </x:c>
      <x:c r="E8" s="45" t="str">
        <x:v>RM</x:v>
      </x:c>
      <x:c r="F8" s="45" t="str">
        <x:v>Jose Ignacio</x:v>
      </x:c>
      <x:c r="G8" s="45" t="str">
        <x:v>Activo</x:v>
      </x:c>
      <x:c r="H8" s="45" t="str">
        <x:v>Estuche x4</x:v>
      </x:c>
      <x:c r="I8" s="45" t="str">
        <x:v>Semanal</x:v>
      </x:c>
      <x:c r="J8" s="72" t="n">
        <x:v>46235</x:v>
      </x:c>
      <x:c r="K8" s="68" t="n">
        <x:v>100</x:v>
      </x:c>
      <x:c r="L8" s="68" t="n">
        <x:v>120</x:v>
      </x:c>
      <x:c r="M8" s="74" t="n">
        <x:v>140</x:v>
      </x:c>
    </x:row>
    <x:row r="9">
      <x:c r="A9" s="54" t="str">
        <x:v>J008</x:v>
      </x:c>
      <x:c r="B9" s="45" t="str">
        <x:v>CL-CEN</x:v>
      </x:c>
      <x:c r="C9" s="45" t="str">
        <x:v>Jumbo Maipu</x:v>
      </x:c>
      <x:c r="D9" s="45" t="str">
        <x:v>Maipu</x:v>
      </x:c>
      <x:c r="E9" s="45" t="str">
        <x:v>RM</x:v>
      </x:c>
      <x:c r="F9" s="45" t="str">
        <x:v>Jose Ignacio</x:v>
      </x:c>
      <x:c r="G9" s="45" t="str">
        <x:v>Activo</x:v>
      </x:c>
      <x:c r="H9" s="45" t="str">
        <x:v>Estuche x4</x:v>
      </x:c>
      <x:c r="I9" s="45" t="str">
        <x:v>Semanal</x:v>
      </x:c>
      <x:c r="J9" s="72" t="n">
        <x:v>46235</x:v>
      </x:c>
      <x:c r="K9" s="68" t="n">
        <x:v>100</x:v>
      </x:c>
      <x:c r="L9" s="68" t="n">
        <x:v>120</x:v>
      </x:c>
      <x:c r="M9" s="74" t="n">
        <x:v>140</x:v>
      </x:c>
    </x:row>
    <x:row r="10">
      <x:c r="A10" s="54" t="str">
        <x:v>J009</x:v>
      </x:c>
      <x:c r="B10" s="45" t="str">
        <x:v>CL-CEN</x:v>
      </x:c>
      <x:c r="C10" s="45" t="str">
        <x:v>Jumbo Vespucio</x:v>
      </x:c>
      <x:c r="D10" s="45" t="str">
        <x:v>Penalolen</x:v>
      </x:c>
      <x:c r="E10" s="45" t="str">
        <x:v>RM</x:v>
      </x:c>
      <x:c r="F10" s="45" t="str">
        <x:v>Jose Ignacio</x:v>
      </x:c>
      <x:c r="G10" s="45" t="str">
        <x:v>Activo</x:v>
      </x:c>
      <x:c r="H10" s="45" t="str">
        <x:v>Estuche x4</x:v>
      </x:c>
      <x:c r="I10" s="45" t="str">
        <x:v>Semanal</x:v>
      </x:c>
      <x:c r="J10" s="72" t="n">
        <x:v>46235</x:v>
      </x:c>
      <x:c r="K10" s="68" t="n">
        <x:v>100</x:v>
      </x:c>
      <x:c r="L10" s="68" t="n">
        <x:v>120</x:v>
      </x:c>
      <x:c r="M10" s="74" t="n">
        <x:v>140</x:v>
      </x:c>
    </x:row>
    <x:row r="11">
      <x:c r="A11" s="54" t="str">
        <x:v>J010</x:v>
      </x:c>
      <x:c r="B11" s="45" t="str">
        <x:v>CL-CEN</x:v>
      </x:c>
      <x:c r="C11" s="45" t="str">
        <x:v>Jumbo Costanera Center</x:v>
      </x:c>
      <x:c r="D11" s="45" t="str">
        <x:v>Providencia</x:v>
      </x:c>
      <x:c r="E11" s="45" t="str">
        <x:v>RM</x:v>
      </x:c>
      <x:c r="F11" s="45" t="str">
        <x:v>Jose Ignacio</x:v>
      </x:c>
      <x:c r="G11" s="45" t="str">
        <x:v>Activo</x:v>
      </x:c>
      <x:c r="H11" s="45" t="str">
        <x:v>Estuche x4</x:v>
      </x:c>
      <x:c r="I11" s="45" t="str">
        <x:v>Semanal</x:v>
      </x:c>
      <x:c r="J11" s="72" t="n">
        <x:v>46235</x:v>
      </x:c>
      <x:c r="K11" s="68" t="n">
        <x:v>100</x:v>
      </x:c>
      <x:c r="L11" s="68" t="n">
        <x:v>120</x:v>
      </x:c>
      <x:c r="M11" s="74" t="n">
        <x:v>140</x:v>
      </x:c>
    </x:row>
    <x:row r="12">
      <x:c r="A12" s="54" t="str">
        <x:v>J011</x:v>
      </x:c>
      <x:c r="B12" s="45" t="str">
        <x:v>CL-CEN</x:v>
      </x:c>
      <x:c r="C12" s="45" t="str">
        <x:v>Jumbo Nunoa</x:v>
      </x:c>
      <x:c r="D12" s="45" t="str">
        <x:v>Nunoa</x:v>
      </x:c>
      <x:c r="E12" s="45" t="str">
        <x:v>RM</x:v>
      </x:c>
      <x:c r="F12" s="45" t="str">
        <x:v>Jose Ignacio</x:v>
      </x:c>
      <x:c r="G12" s="45" t="str">
        <x:v>Activo</x:v>
      </x:c>
      <x:c r="H12" s="45" t="str">
        <x:v>Estuche x4</x:v>
      </x:c>
      <x:c r="I12" s="45" t="str">
        <x:v>Semanal</x:v>
      </x:c>
      <x:c r="J12" s="72" t="n">
        <x:v>46235</x:v>
      </x:c>
      <x:c r="K12" s="68" t="n">
        <x:v>100</x:v>
      </x:c>
      <x:c r="L12" s="68" t="n">
        <x:v>120</x:v>
      </x:c>
      <x:c r="M12" s="74" t="n">
        <x:v>140</x:v>
      </x:c>
    </x:row>
    <x:row r="13">
      <x:c r="A13" s="54" t="str">
        <x:v>J012</x:v>
      </x:c>
      <x:c r="B13" s="45" t="str">
        <x:v>CL-CEN</x:v>
      </x:c>
      <x:c r="C13" s="45" t="str">
        <x:v>Jumbo Estoril</x:v>
      </x:c>
      <x:c r="D13" s="45" t="str">
        <x:v>Las Condes</x:v>
      </x:c>
      <x:c r="E13" s="45" t="str">
        <x:v>RM</x:v>
      </x:c>
      <x:c r="F13" s="45" t="str">
        <x:v>Jose Ignacio</x:v>
      </x:c>
      <x:c r="G13" s="45" t="str">
        <x:v>Activo</x:v>
      </x:c>
      <x:c r="H13" s="45" t="str">
        <x:v>Estuche x4</x:v>
      </x:c>
      <x:c r="I13" s="45" t="str">
        <x:v>Semanal</x:v>
      </x:c>
      <x:c r="J13" s="72" t="n">
        <x:v>46235</x:v>
      </x:c>
      <x:c r="K13" s="68" t="n">
        <x:v>100</x:v>
      </x:c>
      <x:c r="L13" s="68" t="n">
        <x:v>120</x:v>
      </x:c>
      <x:c r="M13" s="74" t="n">
        <x:v>140</x:v>
      </x:c>
    </x:row>
    <x:row r="14">
      <x:c r="A14" s="54" t="str">
        <x:v>J013</x:v>
      </x:c>
      <x:c r="B14" s="45" t="str">
        <x:v>CL-CEN</x:v>
      </x:c>
      <x:c r="C14" s="45" t="str">
        <x:v>Jumbo Puente Alto</x:v>
      </x:c>
      <x:c r="D14" s="45" t="str">
        <x:v>Puente Alto</x:v>
      </x:c>
      <x:c r="E14" s="45" t="str">
        <x:v>RM</x:v>
      </x:c>
      <x:c r="F14" s="45" t="str">
        <x:v>Jose Ignacio</x:v>
      </x:c>
      <x:c r="G14" s="45" t="str">
        <x:v>Activo</x:v>
      </x:c>
      <x:c r="H14" s="45" t="str">
        <x:v>Estuche x4</x:v>
      </x:c>
      <x:c r="I14" s="45" t="str">
        <x:v>Semanal</x:v>
      </x:c>
      <x:c r="J14" s="72" t="n">
        <x:v>46235</x:v>
      </x:c>
      <x:c r="K14" s="68" t="n">
        <x:v>100</x:v>
      </x:c>
      <x:c r="L14" s="68" t="n">
        <x:v>120</x:v>
      </x:c>
      <x:c r="M14" s="74" t="n">
        <x:v>140</x:v>
      </x:c>
    </x:row>
    <x:row r="15">
      <x:c r="A15" s="54" t="str">
        <x:v>J014</x:v>
      </x:c>
      <x:c r="B15" s="45" t="str">
        <x:v>CL-CEN</x:v>
      </x:c>
      <x:c r="C15" s="45" t="str">
        <x:v>Jumbo San Bernardo</x:v>
      </x:c>
      <x:c r="D15" s="45" t="str">
        <x:v>San Bernardo</x:v>
      </x:c>
      <x:c r="E15" s="45" t="str">
        <x:v>RM</x:v>
      </x:c>
      <x:c r="F15" s="45" t="str">
        <x:v>Ana Barra</x:v>
      </x:c>
      <x:c r="G15" s="45" t="str">
        <x:v>Activo</x:v>
      </x:c>
      <x:c r="H15" s="45" t="str">
        <x:v>Estuche x4</x:v>
      </x:c>
      <x:c r="I15" s="45" t="str">
        <x:v>Semanal</x:v>
      </x:c>
      <x:c r="J15" s="72" t="n">
        <x:v>46235</x:v>
      </x:c>
      <x:c r="K15" s="68" t="n">
        <x:v>100</x:v>
      </x:c>
      <x:c r="L15" s="68" t="n">
        <x:v>120</x:v>
      </x:c>
      <x:c r="M15" s="74" t="n">
        <x:v>140</x:v>
      </x:c>
    </x:row>
    <x:row r="16">
      <x:c r="A16" s="54" t="str">
        <x:v>J015</x:v>
      </x:c>
      <x:c r="B16" s="45" t="str">
        <x:v>CL-CEN</x:v>
      </x:c>
      <x:c r="C16" s="45" t="str">
        <x:v>Jumbo Providencia</x:v>
      </x:c>
      <x:c r="D16" s="45" t="str">
        <x:v>Providencia</x:v>
      </x:c>
      <x:c r="E16" s="45" t="str">
        <x:v>RM</x:v>
      </x:c>
      <x:c r="F16" s="45" t="str">
        <x:v>Ana Barra</x:v>
      </x:c>
      <x:c r="G16" s="45" t="str">
        <x:v>Prospecto</x:v>
      </x:c>
      <x:c r="H16" s="45" t="str">
        <x:v>Estuche x4</x:v>
      </x:c>
      <x:c r="I16" s="45" t="str">
        <x:v>Semanal</x:v>
      </x:c>
      <x:c r="J16" s="72" t="n">
        <x:v>46235</x:v>
      </x:c>
      <x:c r="K16" s="68" t="n">
        <x:v>100</x:v>
      </x:c>
      <x:c r="L16" s="68" t="n">
        <x:v>120</x:v>
      </x:c>
      <x:c r="M16" s="74" t="n">
        <x:v>140</x:v>
      </x:c>
    </x:row>
    <x:row r="17">
      <x:c r="A17" s="54" t="str">
        <x:v>D001</x:v>
      </x:c>
      <x:c r="B17" s="45" t="str">
        <x:v>CL-DEL</x:v>
      </x:c>
      <x:c r="C17" s="45" t="str">
        <x:v>Dellanatura Las Condes</x:v>
      </x:c>
      <x:c r="D17" s="45" t="str">
        <x:v>Las Condes</x:v>
      </x:c>
      <x:c r="E17" s="45" t="str">
        <x:v>RM</x:v>
      </x:c>
      <x:c r="F17" s="45" t="str">
        <x:v>Ana Barra</x:v>
      </x:c>
      <x:c r="G17" s="45" t="str">
        <x:v>Activo</x:v>
      </x:c>
      <x:c r="H17" s="45" t="str">
        <x:v>Ambos</x:v>
      </x:c>
      <x:c r="I17" s="45" t="str">
        <x:v>Quincenal</x:v>
      </x:c>
      <x:c r="J17" s="72" t="n">
        <x:v>46027</x:v>
      </x:c>
      <x:c r="K17" s="68" t="n">
        <x:v>20</x:v>
      </x:c>
      <x:c r="L17" s="68" t="n">
        <x:v>25</x:v>
      </x:c>
      <x:c r="M17" s="74" t="n">
        <x:v>30</x:v>
      </x:c>
    </x:row>
    <x:row r="18">
      <x:c r="A18" s="54" t="str">
        <x:v>D002</x:v>
      </x:c>
      <x:c r="B18" s="45" t="str">
        <x:v>CL-DEL</x:v>
      </x:c>
      <x:c r="C18" s="45" t="str">
        <x:v>Dellanatura Providencia</x:v>
      </x:c>
      <x:c r="D18" s="45" t="str">
        <x:v>Providencia</x:v>
      </x:c>
      <x:c r="E18" s="45" t="str">
        <x:v>RM</x:v>
      </x:c>
      <x:c r="F18" s="45" t="str">
        <x:v>Ana Barra</x:v>
      </x:c>
      <x:c r="G18" s="45" t="str">
        <x:v>Activo</x:v>
      </x:c>
      <x:c r="H18" s="45" t="str">
        <x:v>Ambos</x:v>
      </x:c>
      <x:c r="I18" s="45" t="str">
        <x:v>Quincenal</x:v>
      </x:c>
      <x:c r="J18" s="72" t="n">
        <x:v>46028</x:v>
      </x:c>
      <x:c r="K18" s="68" t="n">
        <x:v>15</x:v>
      </x:c>
      <x:c r="L18" s="68" t="n">
        <x:v>20</x:v>
      </x:c>
      <x:c r="M18" s="74" t="n">
        <x:v>25</x:v>
      </x:c>
    </x:row>
    <x:row r="19">
      <x:c r="A19" s="54" t="str">
        <x:v>AN01</x:v>
      </x:c>
      <x:c r="B19" s="45" t="str">
        <x:v>CL-ALN</x:v>
      </x:c>
      <x:c r="C19" s="45" t="str">
        <x:v>All Nutrition Vitacura</x:v>
      </x:c>
      <x:c r="D19" s="45" t="str">
        <x:v>Vitacura</x:v>
      </x:c>
      <x:c r="E19" s="45" t="str">
        <x:v>RM</x:v>
      </x:c>
      <x:c r="F19" s="45" t="str">
        <x:v>Jose Ignacio</x:v>
      </x:c>
      <x:c r="G19" s="45" t="str">
        <x:v>Activo</x:v>
      </x:c>
      <x:c r="H19" s="45" t="str">
        <x:v>Unitaria</x:v>
      </x:c>
      <x:c r="I19" s="45" t="str">
        <x:v>Quincenal</x:v>
      </x:c>
      <x:c r="J19" s="72" t="n">
        <x:v>46029</x:v>
      </x:c>
      <x:c r="K19" s="68" t="n">
        <x:v>15</x:v>
      </x:c>
      <x:c r="L19" s="68" t="n">
        <x:v>18</x:v>
      </x:c>
      <x:c r="M19" s="74" t="n">
        <x:v>20</x:v>
      </x:c>
    </x:row>
    <x:row r="20">
      <x:c r="A20" s="54" t="str">
        <x:v>CO01</x:v>
      </x:c>
      <x:c r="B20" s="45" t="str">
        <x:v>CL-CORG</x:v>
      </x:c>
      <x:c r="C20" s="45" t="str">
        <x:v>Central Organica</x:v>
      </x:c>
      <x:c r="D20" s="45" t="str">
        <x:v>Providencia</x:v>
      </x:c>
      <x:c r="E20" s="45" t="str">
        <x:v>RM</x:v>
      </x:c>
      <x:c r="F20" s="45" t="str">
        <x:v>Jose Ignacio</x:v>
      </x:c>
      <x:c r="G20" s="45" t="str">
        <x:v>Activo</x:v>
      </x:c>
      <x:c r="H20" s="45" t="str">
        <x:v>Ambos</x:v>
      </x:c>
      <x:c r="I20" s="45" t="str">
        <x:v>Quincenal</x:v>
      </x:c>
      <x:c r="J20" s="72" t="n">
        <x:v>46027</x:v>
      </x:c>
      <x:c r="K20" s="68" t="n">
        <x:v>12</x:v>
      </x:c>
      <x:c r="L20" s="68" t="n">
        <x:v>15</x:v>
      </x:c>
      <x:c r="M20" s="74" t="n">
        <x:v>18</x:v>
      </x:c>
    </x:row>
    <x:row r="21">
      <x:c r="A21" s="54" t="str">
        <x:v>F001</x:v>
      </x:c>
      <x:c r="B21" s="45" t="str">
        <x:v>CL-FORK</x:v>
      </x:c>
      <x:c r="C21" s="45" t="str">
        <x:v>Fork Costanera</x:v>
      </x:c>
      <x:c r="D21" s="45" t="str">
        <x:v>Providencia</x:v>
      </x:c>
      <x:c r="E21" s="45" t="str">
        <x:v>RM</x:v>
      </x:c>
      <x:c r="F21" s="45" t="str">
        <x:v>Jose Ignacio</x:v>
      </x:c>
      <x:c r="G21" s="45" t="str">
        <x:v>Activo</x:v>
      </x:c>
      <x:c r="H21" s="45" t="str">
        <x:v>Unitaria</x:v>
      </x:c>
      <x:c r="I21" s="45" t="str">
        <x:v>Mensual</x:v>
      </x:c>
      <x:c r="J21" s="72" t="n">
        <x:v>46030</x:v>
      </x:c>
      <x:c r="K21" s="68" t="n">
        <x:v>10</x:v>
      </x:c>
      <x:c r="L21" s="68" t="n">
        <x:v>12</x:v>
      </x:c>
      <x:c r="M21" s="74" t="n">
        <x:v>15</x:v>
      </x:c>
    </x:row>
    <x:row r="22">
      <x:c r="A22" s="54" t="str">
        <x:v>F002</x:v>
      </x:c>
      <x:c r="B22" s="45" t="str">
        <x:v>CL-FORK</x:v>
      </x:c>
      <x:c r="C22" s="45" t="str">
        <x:v>Fork Las Condes</x:v>
      </x:c>
      <x:c r="D22" s="45" t="str">
        <x:v>Las Condes</x:v>
      </x:c>
      <x:c r="E22" s="45" t="str">
        <x:v>RM</x:v>
      </x:c>
      <x:c r="F22" s="45" t="str">
        <x:v>Ana Barra</x:v>
      </x:c>
      <x:c r="G22" s="45" t="str">
        <x:v>Activo</x:v>
      </x:c>
      <x:c r="H22" s="45" t="str">
        <x:v>Unitaria</x:v>
      </x:c>
      <x:c r="I22" s="45" t="str">
        <x:v>Mensual</x:v>
      </x:c>
      <x:c r="J22" s="72" t="n">
        <x:v>46030</x:v>
      </x:c>
      <x:c r="K22" s="68" t="n">
        <x:v>10</x:v>
      </x:c>
      <x:c r="L22" s="68" t="n">
        <x:v>12</x:v>
      </x:c>
      <x:c r="M22" s="74" t="n">
        <x:v>15</x:v>
      </x:c>
    </x:row>
    <x:row r="23">
      <x:c r="A23" s="54" t="str">
        <x:v>P001</x:v>
      </x:c>
      <x:c r="B23" s="45" t="str">
        <x:v>CL-PIR</x:v>
      </x:c>
      <x:c r="C23" s="45" t="str">
        <x:v>Pirque Centro del Vino</x:v>
      </x:c>
      <x:c r="D23" s="45" t="str">
        <x:v>Pirque</x:v>
      </x:c>
      <x:c r="E23" s="45" t="str">
        <x:v>RM</x:v>
      </x:c>
      <x:c r="F23" s="45" t="str">
        <x:v>Jose Ignacio</x:v>
      </x:c>
      <x:c r="G23" s="45" t="str">
        <x:v>Activo</x:v>
      </x:c>
      <x:c r="H23" s="45" t="str">
        <x:v>Estuche x4</x:v>
      </x:c>
      <x:c r="I23" s="45" t="str">
        <x:v>Mensual</x:v>
      </x:c>
      <x:c r="J23" s="72" t="n">
        <x:v>46031</x:v>
      </x:c>
      <x:c r="K23" s="68" t="n">
        <x:v>8</x:v>
      </x:c>
      <x:c r="L23" s="68" t="n">
        <x:v>10</x:v>
      </x:c>
      <x:c r="M23" s="74" t="n">
        <x:v>12</x:v>
      </x:c>
    </x:row>
    <x:row r="24">
      <x:c r="A24" s="56" t="str">
        <x:v>H001</x:v>
      </x:c>
      <x:c r="B24" s="57" t="str">
        <x:v>CL-RITZ</x:v>
      </x:c>
      <x:c r="C24" s="57" t="str">
        <x:v>Ritz-Carlton Santiago</x:v>
      </x:c>
      <x:c r="D24" s="57" t="str">
        <x:v>Las Condes</x:v>
      </x:c>
      <x:c r="E24" s="57" t="str">
        <x:v>RM</x:v>
      </x:c>
      <x:c r="F24" s="57" t="str">
        <x:v>Jose Ignacio</x:v>
      </x:c>
      <x:c r="G24" s="57" t="str">
        <x:v>Activo</x:v>
      </x:c>
      <x:c r="H24" s="57" t="str">
        <x:v>Estuche x4</x:v>
      </x:c>
      <x:c r="I24" s="57" t="str">
        <x:v>Mensual</x:v>
      </x:c>
      <x:c r="J24" s="73" t="n">
        <x:v>46034</x:v>
      </x:c>
      <x:c r="K24" s="69" t="n">
        <x:v>8</x:v>
      </x:c>
      <x:c r="L24" s="69" t="n">
        <x:v>10</x:v>
      </x:c>
      <x:c r="M24" s="75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191d625943984b0f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8.5" hidden="0" customWidth="1"/>
    <x:col min="2" max="2" width="12.75" hidden="0" customWidth="1"/>
    <x:col min="3" max="3" width="15.130000114440918" hidden="0" customWidth="1"/>
    <x:col min="4" max="4" width="12.880000114440918" hidden="0" customWidth="1"/>
    <x:col min="5" max="5" width="9.130000114440918" hidden="0" customWidth="1"/>
    <x:col min="6" max="6" width="8.380000114440918" hidden="0" customWidth="1"/>
    <x:col min="7" max="7" width="13.880000114440918" hidden="0" customWidth="1"/>
    <x:col min="8" max="8" width="20.75" hidden="0" customWidth="1"/>
    <x:col min="9" max="9" width="9.25" hidden="0" customWidth="1"/>
    <x:col min="10" max="10" width="12.130000114440918" hidden="0" customWidth="1"/>
    <x:col min="11" max="11" width="16" hidden="0" customWidth="1"/>
    <x:col min="12" max="12" width="18.75" hidden="0" customWidth="1"/>
    <x:col min="13" max="13" width="12.130000114440918" hidden="0" customWidth="1"/>
    <x:col min="14" max="14" width="6.5" hidden="0" customWidth="1"/>
    <x:col min="15" max="15" width="31" hidden="0" customWidth="1"/>
  </x:cols>
  <x:sheetData>
    <x:row r="1">
      <x:c r="A1" s="65" t="str">
        <x:v>ID_Cliente</x:v>
      </x:c>
      <x:c r="B1" s="66" t="str">
        <x:v>Cadena</x:v>
      </x:c>
      <x:c r="C1" s="66" t="str">
        <x:v>Segmento</x:v>
      </x:c>
      <x:c r="D1" s="66" t="str">
        <x:v>SubCanal</x:v>
      </x:c>
      <x:c r="E1" s="66" t="str">
        <x:v>Plazo_Pago</x:v>
      </x:c>
      <x:c r="F1" s="66" t="str">
        <x:v>Condicion</x:v>
      </x:c>
      <x:c r="G1" s="66" t="str">
        <x:v>%Desc_Acordado</x:v>
      </x:c>
      <x:c r="H1" s="66" t="str">
        <x:v>Contacto</x:v>
      </x:c>
      <x:c r="I1" s="66" t="str">
        <x:v>Resp</x:v>
      </x:c>
      <x:c r="J1" s="66" t="str">
        <x:v>Estado</x:v>
      </x:c>
      <x:c r="K1" s="66" t="str">
        <x:v>Fecha_Ult_Contacto</x:v>
      </x:c>
      <x:c r="L1" s="66" t="str">
        <x:v>Proxima_Accion</x:v>
      </x:c>
      <x:c r="M1" s="66" t="str">
        <x:v>Fecha_Proxima</x:v>
      </x:c>
      <x:c r="N1" s="66" t="str">
        <x:v>Fuente</x:v>
      </x:c>
      <x:c r="O1" s="67" t="str">
        <x:v>Notas</x:v>
      </x:c>
    </x:row>
    <x:row r="2">
      <x:c r="A2" s="54" t="str">
        <x:v>CL-CEN</x:v>
      </x:c>
      <x:c r="B2" s="45" t="str">
        <x:v>Cencosud</x:v>
      </x:c>
      <x:c r="C2" s="45" t="str">
        <x:v>Retail Moderno</x:v>
      </x:c>
      <x:c r="D2" s="45" t="str">
        <x:v>Jumbo</x:v>
      </x:c>
      <x:c r="E2" s="72" t="n">
        <x:v>30</x:v>
      </x:c>
      <x:c r="F2" s="45" t="str">
        <x:v>Credito</x:v>
      </x:c>
      <x:c r="G2" s="88" t="n">
        <x:v>0</x:v>
      </x:c>
      <x:c r="H2" s="72" t="str">
        <x:v>Buyer Cencosud</x:v>
      </x:c>
      <x:c r="I2" s="45" t="str">
        <x:v>Jose Ignacio</x:v>
      </x:c>
      <x:c r="J2" s="45" t="str">
        <x:v>Negociacion</x:v>
      </x:c>
      <x:c r="K2" s="72" t="n">
        <x:v>46035</x:v>
      </x:c>
      <x:c r="L2" s="45" t="str">
        <x:v>Confirmar reunion Jumbo</x:v>
      </x:c>
      <x:c r="M2" s="72" t="n">
        <x:v>46218</x:v>
      </x:c>
      <x:c r="N2" s="45" t="str">
        <x:v>Reunion</x:v>
      </x:c>
      <x:c r="O2" s="55" t="str">
        <x:v>Reunion pendiente confirmacion definitiva</x:v>
      </x:c>
    </x:row>
    <x:row r="3">
      <x:c r="A3" s="54" t="str">
        <x:v>CL-DEL</x:v>
      </x:c>
      <x:c r="B3" s="45" t="str">
        <x:v>Dellanatura</x:v>
      </x:c>
      <x:c r="C3" s="45" t="str">
        <x:v>Canal Especializado</x:v>
      </x:c>
      <x:c r="D3" s="45" t="str">
        <x:v>Tienda saludable</x:v>
      </x:c>
      <x:c r="E3" s="72" t="n">
        <x:v>0</x:v>
      </x:c>
      <x:c r="F3" s="45" t="str">
        <x:v>Contado</x:v>
      </x:c>
      <x:c r="G3" s="88" t="n">
        <x:v>0</x:v>
      </x:c>
      <x:c r="H3" s="72" t="str">
        <x:v>Encargado Dellanatura</x:v>
      </x:c>
      <x:c r="I3" s="45" t="str">
        <x:v>Ana Barra</x:v>
      </x:c>
      <x:c r="J3" s="45" t="str">
        <x:v>Reorden</x:v>
      </x:c>
      <x:c r="K3" s="72" t="n">
        <x:v>46028</x:v>
      </x:c>
      <x:c r="L3" s="45" t="str">
        <x:v>Reponer</x:v>
      </x:c>
      <x:c r="M3" s="72" t="n">
        <x:v>46213</x:v>
      </x:c>
      <x:c r="N3" s="45" t="str">
        <x:v>Ruta</x:v>
      </x:c>
      <x:c r="O3" s="55"/>
    </x:row>
    <x:row r="4">
      <x:c r="A4" s="54" t="str">
        <x:v>CL-ALN</x:v>
      </x:c>
      <x:c r="B4" s="45" t="str">
        <x:v>All Nutrition</x:v>
      </x:c>
      <x:c r="C4" s="45" t="str">
        <x:v>Canal Especializado</x:v>
      </x:c>
      <x:c r="D4" s="45" t="str">
        <x:v>Tienda saludable</x:v>
      </x:c>
      <x:c r="E4" s="72" t="n">
        <x:v>0</x:v>
      </x:c>
      <x:c r="F4" s="45" t="str">
        <x:v>Contado</x:v>
      </x:c>
      <x:c r="G4" s="88" t="n">
        <x:v>0</x:v>
      </x:c>
      <x:c r="H4" s="72" t="str">
        <x:v>Encargado All Nutrition</x:v>
      </x:c>
      <x:c r="I4" s="45" t="str">
        <x:v>Jose Ignacio</x:v>
      </x:c>
      <x:c r="J4" s="45" t="str">
        <x:v>En seguimiento</x:v>
      </x:c>
      <x:c r="K4" s="72" t="n">
        <x:v>46029</x:v>
      </x:c>
      <x:c r="L4" s="45" t="str">
        <x:v>Seguimiento sell-out</x:v>
      </x:c>
      <x:c r="M4" s="72" t="n">
        <x:v>46215</x:v>
      </x:c>
      <x:c r="N4" s="45" t="str">
        <x:v>Ruta</x:v>
      </x:c>
      <x:c r="O4" s="55"/>
    </x:row>
    <x:row r="5">
      <x:c r="A5" s="54" t="str">
        <x:v>CL-CORG</x:v>
      </x:c>
      <x:c r="B5" s="45" t="str">
        <x:v>Central Organica</x:v>
      </x:c>
      <x:c r="C5" s="45" t="str">
        <x:v>Canal Especializado</x:v>
      </x:c>
      <x:c r="D5" s="45" t="str">
        <x:v>Tienda saludable</x:v>
      </x:c>
      <x:c r="E5" s="72" t="n">
        <x:v>0</x:v>
      </x:c>
      <x:c r="F5" s="45" t="str">
        <x:v>Contado</x:v>
      </x:c>
      <x:c r="G5" s="88" t="n">
        <x:v>0</x:v>
      </x:c>
      <x:c r="H5" s="72" t="str">
        <x:v>Encargado Central Organica</x:v>
      </x:c>
      <x:c r="I5" s="45" t="str">
        <x:v>Jose Ignacio</x:v>
      </x:c>
      <x:c r="J5" s="45" t="str">
        <x:v>Contactado</x:v>
      </x:c>
      <x:c r="K5" s="72" t="n">
        <x:v>46027</x:v>
      </x:c>
      <x:c r="L5" s="45" t="str">
        <x:v>Primera venta</x:v>
      </x:c>
      <x:c r="M5" s="72" t="n">
        <x:v>46217</x:v>
      </x:c>
      <x:c r="N5" s="45" t="str">
        <x:v>Ruta</x:v>
      </x:c>
      <x:c r="O5" s="55"/>
    </x:row>
    <x:row r="6">
      <x:c r="A6" s="54" t="str">
        <x:v>CL-FORK</x:v>
      </x:c>
      <x:c r="B6" s="45" t="str">
        <x:v>Fork</x:v>
      </x:c>
      <x:c r="C6" s="45" t="str">
        <x:v>Canal Conveniencia</x:v>
      </x:c>
      <x:c r="D6" s="45" t="str">
        <x:v>Conveniencia</x:v>
      </x:c>
      <x:c r="E6" s="72" t="n">
        <x:v>0</x:v>
      </x:c>
      <x:c r="F6" s="45" t="str">
        <x:v>Contado</x:v>
      </x:c>
      <x:c r="G6" s="88" t="n">
        <x:v>0</x:v>
      </x:c>
      <x:c r="H6" s="72" t="str">
        <x:v>Encargado Fork</x:v>
      </x:c>
      <x:c r="I6" s="45" t="str">
        <x:v>Ana Barra</x:v>
      </x:c>
      <x:c r="J6" s="45" t="str">
        <x:v>Aprobado piloto</x:v>
      </x:c>
      <x:c r="K6" s="72" t="n">
        <x:v>46030</x:v>
      </x:c>
      <x:c r="L6" s="45" t="str">
        <x:v>Definir surtido</x:v>
      </x:c>
      <x:c r="M6" s="72" t="n">
        <x:v>46214</x:v>
      </x:c>
      <x:c r="N6" s="45" t="str">
        <x:v>Ruta</x:v>
      </x:c>
      <x:c r="O6" s="55"/>
    </x:row>
    <x:row r="7">
      <x:c r="A7" s="54" t="str">
        <x:v>CL-PIR</x:v>
      </x:c>
      <x:c r="B7" s="45" t="str">
        <x:v>Pirque CDV</x:v>
      </x:c>
      <x:c r="C7" s="45" t="str">
        <x:v>Canal Turistico</x:v>
      </x:c>
      <x:c r="D7" s="45" t="str">
        <x:v>Turistico</x:v>
      </x:c>
      <x:c r="E7" s="72" t="n">
        <x:v>0</x:v>
      </x:c>
      <x:c r="F7" s="45" t="str">
        <x:v>Contado</x:v>
      </x:c>
      <x:c r="G7" s="88" t="n">
        <x:v>0</x:v>
      </x:c>
      <x:c r="H7" s="72" t="str">
        <x:v>Encargado Pirque</x:v>
      </x:c>
      <x:c r="I7" s="45" t="str">
        <x:v>Jose Ignacio</x:v>
      </x:c>
      <x:c r="J7" s="45" t="str">
        <x:v>Reorden</x:v>
      </x:c>
      <x:c r="K7" s="72" t="n">
        <x:v>46031</x:v>
      </x:c>
      <x:c r="L7" s="45" t="str">
        <x:v>Reponer estuches</x:v>
      </x:c>
      <x:c r="M7" s="72" t="n">
        <x:v>46219</x:v>
      </x:c>
      <x:c r="N7" s="45" t="str">
        <x:v>Ruta</x:v>
      </x:c>
      <x:c r="O7" s="55"/>
    </x:row>
    <x:row r="8">
      <x:c r="A8" s="56" t="str">
        <x:v>CL-RITZ</x:v>
      </x:c>
      <x:c r="B8" s="57" t="str">
        <x:v>Ritz-Carlton</x:v>
      </x:c>
      <x:c r="C8" s="57" t="str">
        <x:v>HoReCa</x:v>
      </x:c>
      <x:c r="D8" s="57" t="str">
        <x:v>Hotel</x:v>
      </x:c>
      <x:c r="E8" s="73" t="n">
        <x:v>0</x:v>
      </x:c>
      <x:c r="F8" s="57" t="str">
        <x:v>Contado</x:v>
      </x:c>
      <x:c r="G8" s="89" t="n">
        <x:v>0</x:v>
      </x:c>
      <x:c r="H8" s="73" t="str">
        <x:v>Compras Ritz</x:v>
      </x:c>
      <x:c r="I8" s="57" t="str">
        <x:v>Jose Ignacio</x:v>
      </x:c>
      <x:c r="J8" s="57" t="str">
        <x:v>En seguimiento</x:v>
      </x:c>
      <x:c r="K8" s="73" t="n">
        <x:v>46034</x:v>
      </x:c>
      <x:c r="L8" s="57" t="str">
        <x:v>Seguimiento</x:v>
      </x:c>
      <x:c r="M8" s="73" t="n">
        <x:v>46216</x:v>
      </x:c>
      <x:c r="N8" s="57" t="str">
        <x:v>Ruta</x:v>
      </x:c>
      <x:c r="O8" s="58" t="str">
        <x:v>Contado - mejor flujo de caja</x:v>
      </x:c>
    </x:row>
  </x:sheetData>
  <x:pageMargins left="0.7" right="0.7" top="0.75" bottom="0.75" header="0.3" footer="0.3"/>
  <x:tableParts count="1">
    <x:tablePart xmlns:r="http://schemas.openxmlformats.org/officeDocument/2006/relationships" r:id="R46f3a1fa43594eef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9.5" hidden="0" customWidth="1"/>
    <x:col min="2" max="2" width="4.25" hidden="0" customWidth="1"/>
    <x:col min="3" max="3" width="67.37999725341797" hidden="0" customWidth="1"/>
    <x:col min="5" max="5" width="10.75" hidden="0" customWidth="1"/>
    <x:col min="6" max="6" width="15.130000114440918" hidden="0" customWidth="1"/>
    <x:col min="7" max="7" width="8" hidden="0" customWidth="1"/>
    <x:col min="8" max="8" width="8.380000114440918" hidden="0" customWidth="1"/>
    <x:col min="9" max="9" width="15.75" hidden="0" customWidth="1"/>
    <x:col min="10" max="10" width="14.880000114440918" hidden="0" customWidth="1"/>
    <x:col min="11" max="11" width="11.380000114440918" hidden="0" customWidth="1"/>
    <x:col min="12" max="12" width="12.380000114440918" hidden="0" customWidth="1"/>
    <x:col min="13" max="13" width="11.880000114440918" hidden="0" customWidth="1"/>
    <x:col min="14" max="14" width="9.380000114440918" hidden="0" customWidth="1"/>
    <x:col min="15" max="15" width="9.380000114440918" hidden="0" customWidth="1"/>
  </x:cols>
  <x:sheetData>
    <x:row r="1">
      <x:c r="A1" s="65" t="str">
        <x:v>PARAMETROS GLOBALES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7"/>
    </x:row>
    <x:row r="2">
      <x:c r="A2" s="54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55"/>
    </x:row>
    <x:row r="3">
      <x:c r="A3" s="54" t="str">
        <x:v>Parametro</x:v>
      </x:c>
      <x:c r="B3" s="45" t="str">
        <x:v>Valor</x:v>
      </x:c>
      <x:c r="C3" s="45"/>
      <x:c r="D3" s="45"/>
      <x:c r="E3" s="45" t="str">
        <x:v>Responsables</x:v>
      </x:c>
      <x:c r="F3" s="45" t="str">
        <x:v>Segmentos</x:v>
      </x:c>
      <x:c r="G3" s="45" t="str">
        <x:v>Condicion</x:v>
      </x:c>
      <x:c r="H3" s="45" t="str">
        <x:v>Formato</x:v>
      </x:c>
      <x:c r="I3" s="45" t="str">
        <x:v>FuentesSellOut</x:v>
      </x:c>
      <x:c r="J3" s="45" t="str">
        <x:v>EstadosCliente</x:v>
      </x:c>
      <x:c r="K3" s="45" t="str">
        <x:v>EstadosPedido</x:v>
      </x:c>
      <x:c r="L3" s="45" t="str">
        <x:v>TiposPOP</x:v>
      </x:c>
      <x:c r="M3" s="45" t="str">
        <x:v>EstadosFactura</x:v>
      </x:c>
      <x:c r="N3" s="45" t="str">
        <x:v>Frecuencias</x:v>
      </x:c>
      <x:c r="O3" s="55" t="str">
        <x:v>EstadosPDV</x:v>
      </x:c>
    </x:row>
    <x:row r="4">
      <x:c r="A4" s="54" t="str">
        <x:v>IVA</x:v>
      </x:c>
      <x:c r="B4" s="45" t="n">
        <x:v>0.19</x:v>
      </x:c>
      <x:c r="C4" s="45" t="str">
        <x:v>&lt;- IVA Chile 19%</x:v>
      </x:c>
      <x:c r="D4" s="45"/>
      <x:c r="E4" s="45" t="str">
        <x:v>Jose Ignacio</x:v>
      </x:c>
      <x:c r="F4" s="45" t="str">
        <x:v>Retail Moderno</x:v>
      </x:c>
      <x:c r="G4" s="45" t="str">
        <x:v>Contado</x:v>
      </x:c>
      <x:c r="H4" s="45" t="str">
        <x:v>Unitaria</x:v>
      </x:c>
      <x:c r="I4" s="45" t="str">
        <x:v>Portal Cencosud</x:v>
      </x:c>
      <x:c r="J4" s="45" t="str">
        <x:v>No evaluado</x:v>
      </x:c>
      <x:c r="K4" s="45" t="str">
        <x:v>OC Recibida</x:v>
      </x:c>
      <x:c r="L4" s="45" t="str">
        <x:v>Exhibidor piso</x:v>
      </x:c>
      <x:c r="M4" s="45" t="str">
        <x:v>Borrador</x:v>
      </x:c>
      <x:c r="N4" s="45" t="str">
        <x:v>Semanal</x:v>
      </x:c>
      <x:c r="O4" s="55" t="str">
        <x:v>Activo</x:v>
      </x:c>
    </x:row>
    <x:row r="5">
      <x:c r="A5" s="54" t="str">
        <x:v>Anio</x:v>
      </x:c>
      <x:c r="B5" s="45" t="n">
        <x:v>2026</x:v>
      </x:c>
      <x:c r="C5" s="45"/>
      <x:c r="D5" s="45"/>
      <x:c r="E5" s="45" t="str">
        <x:v>Ana Barra</x:v>
      </x:c>
      <x:c r="F5" s="45" t="str">
        <x:v>Canal Especializado</x:v>
      </x:c>
      <x:c r="G5" s="45" t="str">
        <x:v>Credito</x:v>
      </x:c>
      <x:c r="H5" s="45" t="str">
        <x:v>Estuche x4</x:v>
      </x:c>
      <x:c r="I5" s="45" t="str">
        <x:v>Reporte Cliente</x:v>
      </x:c>
      <x:c r="J5" s="45" t="str">
        <x:v>Preseleccionado</x:v>
      </x:c>
      <x:c r="K5" s="45" t="str">
        <x:v>Despachado</x:v>
      </x:c>
      <x:c r="L5" s="45" t="str">
        <x:v>Stopper gondola</x:v>
      </x:c>
      <x:c r="M5" s="45" t="str">
        <x:v>Emitida</x:v>
      </x:c>
      <x:c r="N5" s="45" t="str">
        <x:v>Quincenal</x:v>
      </x:c>
      <x:c r="O5" s="55" t="str">
        <x:v>Prospecto</x:v>
      </x:c>
    </x:row>
    <x:row r="6">
      <x:c r="A6" s="54" t="str">
        <x:v>Costo_Unit_Supuesto</x:v>
      </x:c>
      <x:c r="B6" s="45" t="n">
        <x:v>250</x:v>
      </x:c>
      <x:c r="C6" s="45" t="str">
        <x:v>COSTO 250 = SUPUESTO NO VALIDADO (margen ~84% inverosimil). Actualizar con costo real.</x:v>
      </x:c>
      <x:c r="D6" s="45"/>
      <x:c r="E6" s="45"/>
      <x:c r="F6" s="45" t="str">
        <x:v>Canal Conveniencia</x:v>
      </x:c>
      <x:c r="G6" s="45"/>
      <x:c r="H6" s="45" t="str">
        <x:v>Ambos</x:v>
      </x:c>
      <x:c r="I6" s="45" t="str">
        <x:v>Estimado Reposicion</x:v>
      </x:c>
      <x:c r="J6" s="45" t="str">
        <x:v>Contactado</x:v>
      </x:c>
      <x:c r="K6" s="45" t="str">
        <x:v>Facturado</x:v>
      </x:c>
      <x:c r="L6" s="45" t="str">
        <x:v>Cenefa</x:v>
      </x:c>
      <x:c r="M6" s="45" t="str">
        <x:v>Pagada</x:v>
      </x:c>
      <x:c r="N6" s="45" t="str">
        <x:v>Mensual</x:v>
      </x:c>
      <x:c r="O6" s="55" t="str">
        <x:v>Stand-by</x:v>
      </x:c>
    </x:row>
    <x:row r="7">
      <x:c r="A7" s="54"/>
      <x:c r="B7" s="45"/>
      <x:c r="C7" s="45"/>
      <x:c r="D7" s="45"/>
      <x:c r="E7" s="45"/>
      <x:c r="F7" s="45" t="str">
        <x:v>Canal Turistico</x:v>
      </x:c>
      <x:c r="G7" s="45"/>
      <x:c r="H7" s="45"/>
      <x:c r="I7" s="45" t="str">
        <x:v>Conteo Visita</x:v>
      </x:c>
      <x:c r="J7" s="45" t="str">
        <x:v>Reunion pendiente</x:v>
      </x:c>
      <x:c r="K7" s="45" t="str">
        <x:v>Pagado</x:v>
      </x:c>
      <x:c r="L7" s="45" t="str">
        <x:v>Cartel precio</x:v>
      </x:c>
      <x:c r="M7" s="45" t="str">
        <x:v>Vencida</x:v>
      </x:c>
      <x:c r="N7" s="45"/>
      <x:c r="O7" s="55" t="str">
        <x:v>Perdido</x:v>
      </x:c>
    </x:row>
    <x:row r="8">
      <x:c r="A8" s="54"/>
      <x:c r="B8" s="45"/>
      <x:c r="C8" s="45"/>
      <x:c r="D8" s="45"/>
      <x:c r="E8" s="45"/>
      <x:c r="F8" s="45" t="str">
        <x:v>HoReCa</x:v>
      </x:c>
      <x:c r="G8" s="45"/>
      <x:c r="H8" s="45"/>
      <x:c r="I8" s="45"/>
      <x:c r="J8" s="45" t="str">
        <x:v>Presentado</x:v>
      </x:c>
      <x:c r="K8" s="45" t="str">
        <x:v>Cerrado</x:v>
      </x:c>
      <x:c r="L8" s="45" t="str">
        <x:v>Promotora</x:v>
      </x:c>
      <x:c r="M8" s="45" t="str">
        <x:v>Anulada</x:v>
      </x:c>
      <x:c r="N8" s="45"/>
      <x:c r="O8" s="55"/>
    </x:row>
    <x:row r="9">
      <x:c r="A9" s="54"/>
      <x:c r="B9" s="45"/>
      <x:c r="C9" s="45"/>
      <x:c r="D9" s="45"/>
      <x:c r="E9" s="45"/>
      <x:c r="F9" s="45"/>
      <x:c r="G9" s="45"/>
      <x:c r="H9" s="45"/>
      <x:c r="I9" s="45"/>
      <x:c r="J9" s="45" t="str">
        <x:v>Negociacion</x:v>
      </x:c>
      <x:c r="K9" s="45"/>
      <x:c r="L9" s="45" t="str">
        <x:v>Degustacion</x:v>
      </x:c>
      <x:c r="M9" s="45"/>
      <x:c r="N9" s="45"/>
      <x:c r="O9" s="55"/>
    </x:row>
    <x:row r="10">
      <x:c r="A10" s="54"/>
      <x:c r="B10" s="45"/>
      <x:c r="C10" s="45"/>
      <x:c r="D10" s="45"/>
      <x:c r="E10" s="45"/>
      <x:c r="F10" s="45"/>
      <x:c r="G10" s="45"/>
      <x:c r="H10" s="45"/>
      <x:c r="I10" s="45"/>
      <x:c r="J10" s="45" t="str">
        <x:v>Aprobado piloto</x:v>
      </x:c>
      <x:c r="K10" s="45"/>
      <x:c r="L10" s="45" t="str">
        <x:v>Senaletica</x:v>
      </x:c>
      <x:c r="M10" s="45"/>
      <x:c r="N10" s="45"/>
      <x:c r="O10" s="55"/>
    </x:row>
    <x:row r="11">
      <x:c r="A11" s="54"/>
      <x:c r="B11" s="45"/>
      <x:c r="C11" s="45"/>
      <x:c r="D11" s="45"/>
      <x:c r="E11" s="45"/>
      <x:c r="F11" s="45"/>
      <x:c r="G11" s="45"/>
      <x:c r="H11" s="45"/>
      <x:c r="I11" s="45"/>
      <x:c r="J11" s="45" t="str">
        <x:v>Pedido inicial</x:v>
      </x:c>
      <x:c r="K11" s="45"/>
      <x:c r="L11" s="45"/>
      <x:c r="M11" s="45"/>
      <x:c r="N11" s="45"/>
      <x:c r="O11" s="55"/>
    </x:row>
    <x:row r="12">
      <x:c r="A12" s="54"/>
      <x:c r="B12" s="45"/>
      <x:c r="C12" s="45"/>
      <x:c r="D12" s="45"/>
      <x:c r="E12" s="45"/>
      <x:c r="F12" s="45"/>
      <x:c r="G12" s="45"/>
      <x:c r="H12" s="45"/>
      <x:c r="I12" s="45"/>
      <x:c r="J12" s="45" t="str">
        <x:v>Despachado</x:v>
      </x:c>
      <x:c r="K12" s="45"/>
      <x:c r="L12" s="45"/>
      <x:c r="M12" s="45"/>
      <x:c r="N12" s="45"/>
      <x:c r="O12" s="55"/>
    </x:row>
    <x:row r="13">
      <x:c r="A13" s="54"/>
      <x:c r="B13" s="45"/>
      <x:c r="C13" s="45"/>
      <x:c r="D13" s="45"/>
      <x:c r="E13" s="45"/>
      <x:c r="F13" s="45"/>
      <x:c r="G13" s="45"/>
      <x:c r="H13" s="45"/>
      <x:c r="I13" s="45"/>
      <x:c r="J13" s="45" t="str">
        <x:v>En seguimiento</x:v>
      </x:c>
      <x:c r="K13" s="45"/>
      <x:c r="L13" s="45"/>
      <x:c r="M13" s="45"/>
      <x:c r="N13" s="45"/>
      <x:c r="O13" s="55"/>
    </x:row>
    <x:row r="14">
      <x:c r="A14" s="54"/>
      <x:c r="B14" s="45"/>
      <x:c r="C14" s="45"/>
      <x:c r="D14" s="45"/>
      <x:c r="E14" s="45"/>
      <x:c r="F14" s="45"/>
      <x:c r="G14" s="45"/>
      <x:c r="H14" s="45"/>
      <x:c r="I14" s="45"/>
      <x:c r="J14" s="45" t="str">
        <x:v>Reorden</x:v>
      </x:c>
      <x:c r="K14" s="45"/>
      <x:c r="L14" s="45"/>
      <x:c r="M14" s="45"/>
      <x:c r="N14" s="45"/>
      <x:c r="O14" s="55"/>
    </x:row>
    <x:row r="15">
      <x:c r="A15" s="54"/>
      <x:c r="B15" s="45"/>
      <x:c r="C15" s="45"/>
      <x:c r="D15" s="45"/>
      <x:c r="E15" s="45"/>
      <x:c r="F15" s="45"/>
      <x:c r="G15" s="45"/>
      <x:c r="H15" s="45"/>
      <x:c r="I15" s="45"/>
      <x:c r="J15" s="45" t="str">
        <x:v>Descartado</x:v>
      </x:c>
      <x:c r="K15" s="45"/>
      <x:c r="L15" s="45"/>
      <x:c r="M15" s="45"/>
      <x:c r="N15" s="45"/>
      <x:c r="O15" s="55"/>
    </x:row>
    <x:row r="16">
      <x:c r="A16" s="54"/>
      <x:c r="B16" s="45"/>
      <x:c r="C16" s="45"/>
      <x:c r="D16" s="45"/>
      <x:c r="E16" s="45"/>
      <x:c r="F16" s="45"/>
      <x:c r="G16" s="45"/>
      <x:c r="H16" s="45"/>
      <x:c r="I16" s="45"/>
      <x:c r="J16" s="45" t="str">
        <x:v>Pausado por stock</x:v>
      </x:c>
      <x:c r="K16" s="45"/>
      <x:c r="L16" s="45"/>
      <x:c r="M16" s="45"/>
      <x:c r="N16" s="45"/>
      <x:c r="O16" s="55"/>
    </x:row>
    <x:row r="17">
      <x:c r="A17" s="54"/>
      <x:c r="B17" s="45"/>
      <x:c r="C17" s="45"/>
      <x:c r="D17" s="45"/>
      <x:c r="E17" s="45"/>
      <x:c r="F17" s="45"/>
      <x:c r="G17" s="45"/>
      <x:c r="H17" s="45"/>
      <x:c r="I17" s="45"/>
      <x:c r="J17" s="45" t="str">
        <x:v>Pausado por foco</x:v>
      </x:c>
      <x:c r="K17" s="45"/>
      <x:c r="L17" s="45"/>
      <x:c r="M17" s="45"/>
      <x:c r="N17" s="45"/>
      <x:c r="O17" s="55"/>
    </x:row>
    <x:row r="18">
      <x:c r="A18" s="56"/>
      <x:c r="B18" s="57"/>
      <x:c r="C18" s="57"/>
      <x:c r="D18" s="57"/>
      <x:c r="E18" s="57"/>
      <x:c r="F18" s="57"/>
      <x:c r="G18" s="57"/>
      <x:c r="H18" s="57"/>
      <x:c r="I18" s="57"/>
      <x:c r="J18" s="57" t="str">
        <x:v>Nuevo fuera de plan</x:v>
      </x:c>
      <x:c r="K18" s="57"/>
      <x:c r="L18" s="57"/>
      <x:c r="M18" s="57"/>
      <x:c r="N18" s="57"/>
      <x:c r="O18" s="58"/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1" hidden="0" customWidth="1"/>
    <x:col min="2" max="2" width="29.8799991607666" hidden="0" customWidth="1"/>
    <x:col min="3" max="3" width="18.3799991607666" hidden="0" customWidth="1"/>
    <x:col min="4" max="4" width="11.75" hidden="0" customWidth="1"/>
    <x:col min="5" max="5" width="4.130000114440918" hidden="0" customWidth="1"/>
    <x:col min="6" max="6" width="8.380000114440918" hidden="0" customWidth="1"/>
  </x:cols>
  <x:sheetData>
    <x:row r="1">
      <x:c r="A1" s="91" t="str">
        <x:v>Excel maestro NUVA OXI</x:v>
      </x:c>
      <x:c r="B1" s="91"/>
      <x:c r="C1" s="91"/>
      <x:c r="D1" s="91"/>
      <x:c r="E1" s="91"/>
      <x:c r="F1" s="91"/>
    </x:row>
    <x:row r="2">
      <x:c r="A2" s="93" t="str">
        <x:v>Este archivo concentra el dashboard y las bases fuente para trabajar en un solo libro.</x:v>
      </x:c>
      <x:c r="B2" s="93"/>
      <x:c r="C2" s="93"/>
      <x:c r="D2" s="93"/>
      <x:c r="E2" s="93"/>
      <x:c r="F2" s="93"/>
    </x:row>
    <x:row r="3">
      <x:c r="A3" s="45"/>
      <x:c r="B3" s="45"/>
      <x:c r="C3" s="45"/>
      <x:c r="D3" s="45"/>
      <x:c r="E3" s="45"/>
      <x:c r="F3" s="45"/>
    </x:row>
    <x:row r="4">
      <x:c r="A4" s="96" t="str">
        <x:v>Hoja maestra</x:v>
      </x:c>
      <x:c r="B4" s="96" t="str">
        <x:v>Origen</x:v>
      </x:c>
      <x:c r="C4" s="96" t="str">
        <x:v>Hoja original</x:v>
      </x:c>
      <x:c r="D4" s="96" t="str">
        <x:v>Rango copiado</x:v>
      </x:c>
      <x:c r="E4" s="96" t="str">
        <x:v>Filas</x:v>
      </x:c>
      <x:c r="F4" s="96" t="str">
        <x:v>Columnas</x:v>
      </x:c>
    </x:row>
    <x:row r="5">
      <x:c r="A5" s="97" t="str">
        <x:v>CC_PORTADA</x:v>
      </x:c>
      <x:c r="B5" s="97" t="str">
        <x:v>CONSOLIDADO_COMERCIAL_NUVA.xlsx</x:v>
      </x:c>
      <x:c r="C5" s="97" t="str">
        <x:v>PORTADA</x:v>
      </x:c>
      <x:c r="D5" s="97" t="str">
        <x:v>A1:A2</x:v>
      </x:c>
      <x:c r="E5" s="98" t="n">
        <x:v>2</x:v>
      </x:c>
      <x:c r="F5" s="98" t="n">
        <x:v>1</x:v>
      </x:c>
    </x:row>
    <x:row r="6">
      <x:c r="A6" s="97" t="str">
        <x:v>CC_sell_out</x:v>
      </x:c>
      <x:c r="B6" s="97" t="str">
        <x:v>CONSOLIDADO_COMERCIAL_NUVA.xlsx</x:v>
      </x:c>
      <x:c r="C6" s="97" t="str">
        <x:v>sell_out</x:v>
      </x:c>
      <x:c r="D6" s="97" t="str">
        <x:v>A1:D7</x:v>
      </x:c>
      <x:c r="E6" s="98" t="n">
        <x:v>7</x:v>
      </x:c>
      <x:c r="F6" s="98" t="n">
        <x:v>4</x:v>
      </x:c>
    </x:row>
    <x:row r="7">
      <x:c r="A7" s="97" t="str">
        <x:v>CC_sell_in</x:v>
      </x:c>
      <x:c r="B7" s="97" t="str">
        <x:v>CONSOLIDADO_COMERCIAL_NUVA.xlsx</x:v>
      </x:c>
      <x:c r="C7" s="97" t="str">
        <x:v>sell_in</x:v>
      </x:c>
      <x:c r="D7" s="97" t="str">
        <x:v>A1:H7</x:v>
      </x:c>
      <x:c r="E7" s="98" t="n">
        <x:v>7</x:v>
      </x:c>
      <x:c r="F7" s="98" t="n">
        <x:v>8</x:v>
      </x:c>
    </x:row>
    <x:row r="8">
      <x:c r="A8" s="97" t="str">
        <x:v>CC_ANALISIS</x:v>
      </x:c>
      <x:c r="B8" s="97" t="str">
        <x:v>CONSOLIDADO_COMERCIAL_NUVA.xlsx</x:v>
      </x:c>
      <x:c r="C8" s="97" t="str">
        <x:v>ANALISIS</x:v>
      </x:c>
      <x:c r="D8" s="97" t="str">
        <x:v>A1:F18</x:v>
      </x:c>
      <x:c r="E8" s="98" t="n">
        <x:v>18</x:v>
      </x:c>
      <x:c r="F8" s="98" t="n">
        <x:v>6</x:v>
      </x:c>
    </x:row>
    <x:row r="9">
      <x:c r="A9" s="97" t="str">
        <x:v>FIN_EST_RESULT</x:v>
      </x:c>
      <x:c r="B9" s="97" t="str">
        <x:v>BD_FINANZAS_NUVA.xlsx</x:v>
      </x:c>
      <x:c r="C9" s="97" t="str">
        <x:v>ESTADO_RESULTADOS</x:v>
      </x:c>
      <x:c r="D9" s="97" t="str">
        <x:v>A1:B17</x:v>
      </x:c>
      <x:c r="E9" s="98" t="n">
        <x:v>17</x:v>
      </x:c>
      <x:c r="F9" s="98" t="n">
        <x:v>2</x:v>
      </x:c>
    </x:row>
    <x:row r="10">
      <x:c r="A10" s="97" t="str">
        <x:v>FIN_BALANCE</x:v>
      </x:c>
      <x:c r="B10" s="97" t="str">
        <x:v>BD_FINANZAS_NUVA.xlsx</x:v>
      </x:c>
      <x:c r="C10" s="97" t="str">
        <x:v>BALANCE</x:v>
      </x:c>
      <x:c r="D10" s="97" t="str">
        <x:v>A1:B12</x:v>
      </x:c>
      <x:c r="E10" s="98" t="n">
        <x:v>12</x:v>
      </x:c>
      <x:c r="F10" s="98" t="n">
        <x:v>2</x:v>
      </x:c>
    </x:row>
    <x:row r="11">
      <x:c r="A11" s="97" t="str">
        <x:v>FIN_FLUJO_CAJA</x:v>
      </x:c>
      <x:c r="B11" s="97" t="str">
        <x:v>BD_FINANZAS_NUVA.xlsx</x:v>
      </x:c>
      <x:c r="C11" s="97" t="str">
        <x:v>FLUJO_CAJA</x:v>
      </x:c>
      <x:c r="D11" s="97" t="str">
        <x:v>A1:B11</x:v>
      </x:c>
      <x:c r="E11" s="98" t="n">
        <x:v>11</x:v>
      </x:c>
      <x:c r="F11" s="98" t="n">
        <x:v>2</x:v>
      </x:c>
    </x:row>
    <x:row r="12">
      <x:c r="A12" s="97" t="str">
        <x:v>FIN_datos_ventas</x:v>
      </x:c>
      <x:c r="B12" s="97" t="str">
        <x:v>BD_FINANZAS_NUVA.xlsx</x:v>
      </x:c>
      <x:c r="C12" s="97" t="str">
        <x:v>datos_ventas</x:v>
      </x:c>
      <x:c r="D12" s="97" t="str">
        <x:v>A1:D7</x:v>
      </x:c>
      <x:c r="E12" s="98" t="n">
        <x:v>7</x:v>
      </x:c>
      <x:c r="F12" s="98" t="n">
        <x:v>4</x:v>
      </x:c>
    </x:row>
    <x:row r="13">
      <x:c r="A13" s="97" t="str">
        <x:v>INV_INVENTARIO_PDV</x:v>
      </x:c>
      <x:c r="B13" s="97" t="str">
        <x:v>BD_INVENTARIO_NUVA.xlsx</x:v>
      </x:c>
      <x:c r="C13" s="97" t="str">
        <x:v>INVENTARIO_PDV</x:v>
      </x:c>
      <x:c r="D13" s="97" t="str">
        <x:v>A1:H7</x:v>
      </x:c>
      <x:c r="E13" s="98" t="n">
        <x:v>7</x:v>
      </x:c>
      <x:c r="F13" s="98" t="n">
        <x:v>8</x:v>
      </x:c>
    </x:row>
    <x:row r="14">
      <x:c r="A14" s="97" t="str">
        <x:v>INV_MOVIMIENTOS</x:v>
      </x:c>
      <x:c r="B14" s="97" t="str">
        <x:v>BD_INVENTARIO_NUVA.xlsx</x:v>
      </x:c>
      <x:c r="C14" s="97" t="str">
        <x:v>MOVIMIENTOS</x:v>
      </x:c>
      <x:c r="D14" s="97" t="str">
        <x:v>A1:G4</x:v>
      </x:c>
      <x:c r="E14" s="98" t="n">
        <x:v>4</x:v>
      </x:c>
      <x:c r="F14" s="98" t="n">
        <x:v>7</x:v>
      </x:c>
    </x:row>
    <x:row r="15">
      <x:c r="A15" s="97" t="str">
        <x:v>INV_STOCK_CANAL</x:v>
      </x:c>
      <x:c r="B15" s="97" t="str">
        <x:v>BD_INVENTARIO_NUVA.xlsx</x:v>
      </x:c>
      <x:c r="C15" s="97" t="str">
        <x:v>STOCK_CANAL</x:v>
      </x:c>
      <x:c r="D15" s="97" t="str">
        <x:v>A1:I7</x:v>
      </x:c>
      <x:c r="E15" s="98" t="n">
        <x:v>7</x:v>
      </x:c>
      <x:c r="F15" s="98" t="n">
        <x:v>9</x:v>
      </x:c>
    </x:row>
    <x:row r="16">
      <x:c r="A16" s="97" t="str">
        <x:v>INV_ref_SKU</x:v>
      </x:c>
      <x:c r="B16" s="97" t="str">
        <x:v>BD_INVENTARIO_NUVA.xlsx</x:v>
      </x:c>
      <x:c r="C16" s="97" t="str">
        <x:v>ref_SKU</x:v>
      </x:c>
      <x:c r="D16" s="97" t="str">
        <x:v>A1:C7</x:v>
      </x:c>
      <x:c r="E16" s="98" t="n">
        <x:v>7</x:v>
      </x:c>
      <x:c r="F16" s="98" t="n">
        <x:v>3</x:v>
      </x:c>
    </x:row>
    <x:row r="17">
      <x:c r="A17" s="97" t="str">
        <x:v>INV_ref_PDV</x:v>
      </x:c>
      <x:c r="B17" s="97" t="str">
        <x:v>BD_INVENTARIO_NUVA.xlsx</x:v>
      </x:c>
      <x:c r="C17" s="97" t="str">
        <x:v>ref_PDV</x:v>
      </x:c>
      <x:c r="D17" s="97" t="str">
        <x:v>A1:D24</x:v>
      </x:c>
      <x:c r="E17" s="98" t="n">
        <x:v>24</x:v>
      </x:c>
      <x:c r="F17" s="98" t="n">
        <x:v>4</x:v>
      </x:c>
    </x:row>
    <x:row r="18">
      <x:c r="A18" s="97" t="str">
        <x:v>INV_ventas_crm</x:v>
      </x:c>
      <x:c r="B18" s="97" t="str">
        <x:v>BD_INVENTARIO_NUVA.xlsx</x:v>
      </x:c>
      <x:c r="C18" s="97" t="str">
        <x:v>ventas_crm</x:v>
      </x:c>
      <x:c r="D18" s="97" t="str">
        <x:v>A1:C7</x:v>
      </x:c>
      <x:c r="E18" s="98" t="n">
        <x:v>7</x:v>
      </x:c>
      <x:c r="F18" s="98" t="n">
        <x:v>3</x:v>
      </x:c>
    </x:row>
    <x:row r="19">
      <x:c r="A19" s="97" t="str">
        <x:v>SIN_ANALISIS</x:v>
      </x:c>
      <x:c r="B19" s="97" t="str">
        <x:v>BD_SELL_IN_NUVA (2).xlsx</x:v>
      </x:c>
      <x:c r="C19" s="97" t="str">
        <x:v>ANALISIS</x:v>
      </x:c>
      <x:c r="D19" s="97" t="str">
        <x:v>A1:B13</x:v>
      </x:c>
      <x:c r="E19" s="98" t="n">
        <x:v>13</x:v>
      </x:c>
      <x:c r="F19" s="98" t="n">
        <x:v>2</x:v>
      </x:c>
    </x:row>
    <x:row r="20">
      <x:c r="A20" s="97" t="str">
        <x:v>SIN_GESTION_PED</x:v>
      </x:c>
      <x:c r="B20" s="97" t="str">
        <x:v>BD_SELL_IN_NUVA (2).xlsx</x:v>
      </x:c>
      <x:c r="C20" s="97" t="str">
        <x:v>GESTION_PEDIDOS</x:v>
      </x:c>
      <x:c r="D20" s="97" t="str">
        <x:v>A1:M6</x:v>
      </x:c>
      <x:c r="E20" s="98" t="n">
        <x:v>6</x:v>
      </x:c>
      <x:c r="F20" s="98" t="n">
        <x:v>13</x:v>
      </x:c>
    </x:row>
    <x:row r="21">
      <x:c r="A21" s="97" t="str">
        <x:v>SIN_ref_SKU</x:v>
      </x:c>
      <x:c r="B21" s="97" t="str">
        <x:v>BD_SELL_IN_NUVA (2).xlsx</x:v>
      </x:c>
      <x:c r="C21" s="97" t="str">
        <x:v>ref_SKU</x:v>
      </x:c>
      <x:c r="D21" s="97" t="str">
        <x:v>A1:F8</x:v>
      </x:c>
      <x:c r="E21" s="98" t="n">
        <x:v>8</x:v>
      </x:c>
      <x:c r="F21" s="98" t="n">
        <x:v>6</x:v>
      </x:c>
    </x:row>
    <x:row r="22">
      <x:c r="A22" s="97" t="str">
        <x:v>SIN_ref_Clientes</x:v>
      </x:c>
      <x:c r="B22" s="97" t="str">
        <x:v>BD_SELL_IN_NUVA (2).xlsx</x:v>
      </x:c>
      <x:c r="C22" s="97" t="str">
        <x:v>ref_Clientes</x:v>
      </x:c>
      <x:c r="D22" s="97" t="str">
        <x:v>A1:E8</x:v>
      </x:c>
      <x:c r="E22" s="98" t="n">
        <x:v>8</x:v>
      </x:c>
      <x:c r="F22" s="98" t="n">
        <x:v>5</x:v>
      </x:c>
    </x:row>
    <x:row r="23">
      <x:c r="A23" s="97" t="str">
        <x:v>SIN_VENTAS</x:v>
      </x:c>
      <x:c r="B23" s="97" t="str">
        <x:v>BD_SELL_IN_NUVA (2).xlsx</x:v>
      </x:c>
      <x:c r="C23" s="97" t="str">
        <x:v>VENTAS</x:v>
      </x:c>
      <x:c r="D23" s="97" t="str">
        <x:v>A1:M24</x:v>
      </x:c>
      <x:c r="E23" s="98" t="n">
        <x:v>24</x:v>
      </x:c>
      <x:c r="F23" s="98" t="n">
        <x:v>13</x:v>
      </x:c>
    </x:row>
    <x:row r="24">
      <x:c r="A24" s="97" t="str">
        <x:v>SOUT_SELL_OUT</x:v>
      </x:c>
      <x:c r="B24" s="97" t="str">
        <x:v>BD_SELL_OUT_NUVA (2).xlsx</x:v>
      </x:c>
      <x:c r="C24" s="97" t="str">
        <x:v>SELL_OUT</x:v>
      </x:c>
      <x:c r="D24" s="97" t="str">
        <x:v>A1:K7</x:v>
      </x:c>
      <x:c r="E24" s="98" t="n">
        <x:v>7</x:v>
      </x:c>
      <x:c r="F24" s="98" t="n">
        <x:v>11</x:v>
      </x:c>
    </x:row>
    <x:row r="25">
      <x:c r="A25" s="97" t="str">
        <x:v>SOUT_RESUMEN</x:v>
      </x:c>
      <x:c r="B25" s="97" t="str">
        <x:v>BD_SELL_OUT_NUVA (2).xlsx</x:v>
      </x:c>
      <x:c r="C25" s="97" t="str">
        <x:v>RESUMEN</x:v>
      </x:c>
      <x:c r="D25" s="97" t="str">
        <x:v>A1:B5</x:v>
      </x:c>
      <x:c r="E25" s="98" t="n">
        <x:v>5</x:v>
      </x:c>
      <x:c r="F25" s="98" t="n">
        <x:v>2</x:v>
      </x:c>
    </x:row>
    <x:row r="26">
      <x:c r="A26" s="97" t="str">
        <x:v>SOUT_carga_clientes</x:v>
      </x:c>
      <x:c r="B26" s="97" t="str">
        <x:v>BD_SELL_OUT_NUVA (2).xlsx</x:v>
      </x:c>
      <x:c r="C26" s="97" t="str">
        <x:v>carga_clientes</x:v>
      </x:c>
      <x:c r="D26" s="97" t="str">
        <x:v>A1:F3</x:v>
      </x:c>
      <x:c r="E26" s="98" t="n">
        <x:v>3</x:v>
      </x:c>
      <x:c r="F26" s="98" t="n">
        <x:v>6</x:v>
      </x:c>
    </x:row>
    <x:row r="27">
      <x:c r="A27" s="97" t="str">
        <x:v>SOUT_carga_cencosud</x:v>
      </x:c>
      <x:c r="B27" s="97" t="str">
        <x:v>BD_SELL_OUT_NUVA (2).xlsx</x:v>
      </x:c>
      <x:c r="C27" s="97" t="str">
        <x:v>carga_cencosud</x:v>
      </x:c>
      <x:c r="D27" s="97" t="str">
        <x:v>A1:F3</x:v>
      </x:c>
      <x:c r="E27" s="98" t="n">
        <x:v>3</x:v>
      </x:c>
      <x:c r="F27" s="98" t="n">
        <x:v>6</x:v>
      </x:c>
    </x:row>
    <x:row r="28">
      <x:c r="A28" s="97" t="str">
        <x:v>CRM_13_Dashboard</x:v>
      </x:c>
      <x:c r="B28" s="97" t="str">
        <x:v>CRM_NUVA_OXI (3).xlsx</x:v>
      </x:c>
      <x:c r="C28" s="97" t="str">
        <x:v>13_Dashboard</x:v>
      </x:c>
      <x:c r="D28" s="97" t="str">
        <x:v>A1:C22</x:v>
      </x:c>
      <x:c r="E28" s="98" t="n">
        <x:v>22</x:v>
      </x:c>
      <x:c r="F28" s="98" t="n">
        <x:v>3</x:v>
      </x:c>
    </x:row>
    <x:row r="29">
      <x:c r="A29" s="97" t="str">
        <x:v>CRM_12_POP</x:v>
      </x:c>
      <x:c r="B29" s="97" t="str">
        <x:v>CRM_NUVA_OXI (3).xlsx</x:v>
      </x:c>
      <x:c r="C29" s="97" t="str">
        <x:v>12_POP</x:v>
      </x:c>
      <x:c r="D29" s="97" t="str">
        <x:v>A1:F18</x:v>
      </x:c>
      <x:c r="E29" s="98" t="n">
        <x:v>18</x:v>
      </x:c>
      <x:c r="F29" s="98" t="n">
        <x:v>6</x:v>
      </x:c>
    </x:row>
    <x:row r="30">
      <x:c r="A30" s="97" t="str">
        <x:v>CRM_11_Tareas</x:v>
      </x:c>
      <x:c r="B30" s="97" t="str">
        <x:v>CRM_NUVA_OXI (3).xlsx</x:v>
      </x:c>
      <x:c r="C30" s="97" t="str">
        <x:v>11_Tareas_Decisiones</x:v>
      </x:c>
      <x:c r="D30" s="97" t="str">
        <x:v>A1:G7</x:v>
      </x:c>
      <x:c r="E30" s="98" t="n">
        <x:v>7</x:v>
      </x:c>
      <x:c r="F30" s="98" t="n">
        <x:v>7</x:v>
      </x:c>
    </x:row>
    <x:row r="31">
      <x:c r="A31" s="97" t="str">
        <x:v>CRM_10_Margen</x:v>
      </x:c>
      <x:c r="B31" s="97" t="str">
        <x:v>CRM_NUVA_OXI (3).xlsx</x:v>
      </x:c>
      <x:c r="C31" s="97" t="str">
        <x:v>10_Condiciones_Margen</x:v>
      </x:c>
      <x:c r="D31" s="97" t="str">
        <x:v>A1:J4</x:v>
      </x:c>
      <x:c r="E31" s="98" t="n">
        <x:v>4</x:v>
      </x:c>
      <x:c r="F31" s="98" t="n">
        <x:v>10</x:v>
      </x:c>
    </x:row>
    <x:row r="32">
      <x:c r="A32" s="97" t="str">
        <x:v>CRM_09_Sell_In</x:v>
      </x:c>
      <x:c r="B32" s="97" t="str">
        <x:v>CRM_NUVA_OXI (3).xlsx</x:v>
      </x:c>
      <x:c r="C32" s="97" t="str">
        <x:v>09_Sell_In</x:v>
      </x:c>
      <x:c r="D32" s="97" t="str">
        <x:v>A1:S8</x:v>
      </x:c>
      <x:c r="E32" s="98" t="n">
        <x:v>8</x:v>
      </x:c>
      <x:c r="F32" s="98" t="n">
        <x:v>19</x:v>
      </x:c>
    </x:row>
    <x:row r="33">
      <x:c r="A33" s="97" t="str">
        <x:v>CRM_08_Pedidos</x:v>
      </x:c>
      <x:c r="B33" s="97" t="str">
        <x:v>CRM_NUVA_OXI (3).xlsx</x:v>
      </x:c>
      <x:c r="C33" s="97" t="str">
        <x:v>08_Pedidos_OC</x:v>
      </x:c>
      <x:c r="D33" s="97" t="str">
        <x:v>A1:M4</x:v>
      </x:c>
      <x:c r="E33" s="98" t="n">
        <x:v>4</x:v>
      </x:c>
      <x:c r="F33" s="98" t="n">
        <x:v>13</x:v>
      </x:c>
    </x:row>
    <x:row r="34">
      <x:c r="A34" s="97" t="str">
        <x:v>CRM_07_Stock_Canal</x:v>
      </x:c>
      <x:c r="B34" s="97" t="str">
        <x:v>CRM_NUVA_OXI (3).xlsx</x:v>
      </x:c>
      <x:c r="C34" s="97" t="str">
        <x:v>07_Stock_Canal</x:v>
      </x:c>
      <x:c r="D34" s="97" t="str">
        <x:v>A1:I14</x:v>
      </x:c>
      <x:c r="E34" s="98" t="n">
        <x:v>14</x:v>
      </x:c>
      <x:c r="F34" s="98" t="n">
        <x:v>9</x:v>
      </x:c>
    </x:row>
    <x:row r="35">
      <x:c r="A35" s="97" t="str">
        <x:v>CRM_06_Reg_PDV</x:v>
      </x:c>
      <x:c r="B35" s="97" t="str">
        <x:v>CRM_NUVA_OXI (3).xlsx</x:v>
      </x:c>
      <x:c r="C35" s="97" t="str">
        <x:v>06_Registro_PDV</x:v>
      </x:c>
      <x:c r="D35" s="97" t="str">
        <x:v>A1:Q3</x:v>
      </x:c>
      <x:c r="E35" s="98" t="n">
        <x:v>3</x:v>
      </x:c>
      <x:c r="F35" s="98" t="n">
        <x:v>17</x:v>
      </x:c>
    </x:row>
    <x:row r="36">
      <x:c r="A36" s="97" t="str">
        <x:v>CRM_05_Visitas</x:v>
      </x:c>
      <x:c r="B36" s="97" t="str">
        <x:v>CRM_NUVA_OXI (3).xlsx</x:v>
      </x:c>
      <x:c r="C36" s="97" t="str">
        <x:v>05_Plan_Visitas</x:v>
      </x:c>
      <x:c r="D36" s="97" t="str">
        <x:v>A1:J4</x:v>
      </x:c>
      <x:c r="E36" s="98" t="n">
        <x:v>4</x:v>
      </x:c>
      <x:c r="F36" s="98" t="n">
        <x:v>10</x:v>
      </x:c>
    </x:row>
    <x:row r="37">
      <x:c r="A37" s="97" t="str">
        <x:v>CRM_04_Prioridad</x:v>
      </x:c>
      <x:c r="B37" s="97" t="str">
        <x:v>CRM_NUVA_OXI (3).xlsx</x:v>
      </x:c>
      <x:c r="C37" s="97" t="str">
        <x:v>04_Priorizacion</x:v>
      </x:c>
      <x:c r="D37" s="97" t="str">
        <x:v>A1:J7</x:v>
      </x:c>
      <x:c r="E37" s="98" t="n">
        <x:v>7</x:v>
      </x:c>
      <x:c r="F37" s="98" t="n">
        <x:v>10</x:v>
      </x:c>
    </x:row>
    <x:row r="38">
      <x:c r="A38" s="97" t="str">
        <x:v>CRM_03_SKU</x:v>
      </x:c>
      <x:c r="B38" s="97" t="str">
        <x:v>CRM_NUVA_OXI (3).xlsx</x:v>
      </x:c>
      <x:c r="C38" s="97" t="str">
        <x:v>03_Maestro_SKU</x:v>
      </x:c>
      <x:c r="D38" s="97" t="str">
        <x:v>A1:J10</x:v>
      </x:c>
      <x:c r="E38" s="98" t="n">
        <x:v>10</x:v>
      </x:c>
      <x:c r="F38" s="98" t="n">
        <x:v>10</x:v>
      </x:c>
    </x:row>
    <x:row r="39">
      <x:c r="A39" s="97" t="str">
        <x:v>CRM_02_PDV</x:v>
      </x:c>
      <x:c r="B39" s="97" t="str">
        <x:v>CRM_NUVA_OXI (3).xlsx</x:v>
      </x:c>
      <x:c r="C39" s="97" t="str">
        <x:v>02_Maestro_PDV</x:v>
      </x:c>
      <x:c r="D39" s="97" t="str">
        <x:v>A1:M24</x:v>
      </x:c>
      <x:c r="E39" s="98" t="n">
        <x:v>24</x:v>
      </x:c>
      <x:c r="F39" s="98" t="n">
        <x:v>13</x:v>
      </x:c>
    </x:row>
    <x:row r="40">
      <x:c r="A40" s="97" t="str">
        <x:v>CRM_01_Clientes</x:v>
      </x:c>
      <x:c r="B40" s="97" t="str">
        <x:v>CRM_NUVA_OXI (3).xlsx</x:v>
      </x:c>
      <x:c r="C40" s="97" t="str">
        <x:v>01_Maestro_Clientes</x:v>
      </x:c>
      <x:c r="D40" s="97" t="str">
        <x:v>A1:O8</x:v>
      </x:c>
      <x:c r="E40" s="98" t="n">
        <x:v>8</x:v>
      </x:c>
      <x:c r="F40" s="98" t="n">
        <x:v>15</x:v>
      </x:c>
    </x:row>
    <x:row r="41">
      <x:c r="A41" s="97" t="str">
        <x:v>CRM_00_Parametros</x:v>
      </x:c>
      <x:c r="B41" s="97" t="str">
        <x:v>CRM_NUVA_OXI (3).xlsx</x:v>
      </x:c>
      <x:c r="C41" s="97" t="str">
        <x:v>00_Parametros</x:v>
      </x:c>
      <x:c r="D41" s="97" t="str">
        <x:v>A1:O18</x:v>
      </x:c>
      <x:c r="E41" s="98" t="n">
        <x:v>18</x:v>
      </x:c>
      <x:c r="F41" s="98" t="n">
        <x:v>15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51.25" hidden="0" customWidth="1"/>
    <x:col min="3" max="3" width="57.880001068115234" hidden="0" customWidth="1"/>
    <x:col min="4" max="4" width="13" hidden="0" customWidth="1"/>
    <x:col min="5" max="5" width="51.130001068115234" hidden="0" customWidth="1"/>
  </x:cols>
  <x:sheetData>
    <x:row r="1">
      <x:c r="A1" s="96" t="str">
        <x:v>Fuente</x:v>
      </x:c>
      <x:c r="B1" s="99" t="str">
        <x:v>Ruta</x:v>
      </x:c>
      <x:c r="C1" s="99" t="str">
        <x:v>SHA-256</x:v>
      </x:c>
      <x:c r="D1" s="96" t="str">
        <x:v>Estado</x:v>
      </x:c>
      <x:c r="E1" s="96" t="str">
        <x:v>Notas</x:v>
      </x:c>
    </x:row>
    <x:row r="2">
      <x:c r="A2" s="97" t="str">
        <x:v>Dashboard_NUVA_OXI_2026-07-09 (1).xlsx</x:v>
      </x:c>
      <x:c r="B2" s="97" t="str">
        <x:v>C:\Users\jimen\Downloads\Dashboard_NUVA_OXI_2026-07-09 (1).xlsx</x:v>
      </x:c>
      <x:c r="C2" s="97" t="str">
        <x:v>58bec1aec2190fc1236a59a9cf7f26566f3b2ed001790eddd930a373e8409688</x:v>
      </x:c>
      <x:c r="D2" s="97" t="str">
        <x:v>Base del maestro</x:v>
      </x:c>
      <x:c r="E2" s="97" t="str">
        <x:v>Se mantuvo como hoja Dashboard inicial.</x:v>
      </x:c>
    </x:row>
    <x:row r="3">
      <x:c r="A3" s="97" t="str">
        <x:v>CONSOLIDADO_COMERCIAL_NUVA.xlsx</x:v>
      </x:c>
      <x:c r="B3" s="97" t="str">
        <x:v>C:\Users\jimen\Downloads\CONSOLIDADO_COMERCIAL_NUVA.xlsx</x:v>
      </x:c>
      <x:c r="C3" s="97" t="str">
        <x:v>9863c8bd184910b061ffee163929ce01c61f0790c1a739b07151a36785360d0c</x:v>
      </x:c>
      <x:c r="D3" s="97" t="str">
        <x:v>Incluido</x:v>
      </x:c>
      <x:c r="E3" s="97" t="str"/>
    </x:row>
    <x:row r="4">
      <x:c r="A4" s="97" t="str">
        <x:v>BD_FINANZAS_NUVA.xlsx</x:v>
      </x:c>
      <x:c r="B4" s="97" t="str">
        <x:v>C:\Users\jimen\Downloads\BD_FINANZAS_NUVA.xlsx</x:v>
      </x:c>
      <x:c r="C4" s="97" t="str">
        <x:v>a10e4e4c0441701f363e21720de4bb874363db34b0beee29fdcacac60f5efaf3</x:v>
      </x:c>
      <x:c r="D4" s="97" t="str">
        <x:v>Incluido</x:v>
      </x:c>
      <x:c r="E4" s="97" t="str">
        <x:v>Tambien existe copia identica: BD_FINANZAS_NUVA (1).xlsx</x:v>
      </x:c>
    </x:row>
    <x:row r="5">
      <x:c r="A5" s="97" t="str">
        <x:v>BD_INVENTARIO_NUVA.xlsx</x:v>
      </x:c>
      <x:c r="B5" s="97" t="str">
        <x:v>C:\Users\jimen\Downloads\BD_INVENTARIO_NUVA.xlsx</x:v>
      </x:c>
      <x:c r="C5" s="97" t="str">
        <x:v>510d409da2b088622eed3a360c96d698cbd8beed553788657a8654acb784a60b</x:v>
      </x:c>
      <x:c r="D5" s="97" t="str">
        <x:v>Incluido</x:v>
      </x:c>
      <x:c r="E5" s="97" t="str"/>
    </x:row>
    <x:row r="6">
      <x:c r="A6" s="97" t="str">
        <x:v>BD_SELL_IN_NUVA (2).xlsx</x:v>
      </x:c>
      <x:c r="B6" s="97" t="str">
        <x:v>C:\Users\jimen\Downloads\BD_SELL_IN_NUVA (2).xlsx</x:v>
      </x:c>
      <x:c r="C6" s="97" t="str">
        <x:v>8e671969d6a163e398a585bce7647546a0a27197a0d31f448e3feddf71ad9c16</x:v>
      </x:c>
      <x:c r="D6" s="97" t="str">
        <x:v>Incluido</x:v>
      </x:c>
      <x:c r="E6" s="97" t="str"/>
    </x:row>
    <x:row r="7">
      <x:c r="A7" s="97" t="str">
        <x:v>BD_SELL_OUT_NUVA (2).xlsx</x:v>
      </x:c>
      <x:c r="B7" s="97" t="str">
        <x:v>C:\Users\jimen\Downloads\BD_SELL_OUT_NUVA (2).xlsx</x:v>
      </x:c>
      <x:c r="C7" s="97" t="str">
        <x:v>20a9aba82d81178399b2800614c828eb7eeb092729da5c8307587df500fbaf04</x:v>
      </x:c>
      <x:c r="D7" s="97" t="str">
        <x:v>Incluido</x:v>
      </x:c>
      <x:c r="E7" s="97" t="str"/>
    </x:row>
    <x:row r="8">
      <x:c r="A8" s="97" t="str">
        <x:v>CRM_NUVA_OXI (3).xlsx</x:v>
      </x:c>
      <x:c r="B8" s="97" t="str">
        <x:v>C:\Users\jimen\Downloads\CRM_NUVA_OXI (3).xlsx</x:v>
      </x:c>
      <x:c r="C8" s="97" t="str">
        <x:v>6a8f2cf373da90431641dfad000d849648d06be729819f2cc908f9926a430fd1</x:v>
      </x:c>
      <x:c r="D8" s="97" t="str">
        <x:v>Incluido</x:v>
      </x:c>
      <x:c r="E8" s="97" t="str"/>
    </x:row>
    <x:row r="9">
      <x:c r="A9" s="97" t="str">
        <x:v>BD_FINANZAS_NUVA (1).xlsx</x:v>
      </x:c>
      <x:c r="B9" s="97" t="str">
        <x:v>C:\Users\jimen\Downloads\BD_FINANZAS_NUVA (1).xlsx</x:v>
      </x:c>
      <x:c r="C9" s="97" t="str">
        <x:v>a10e4e4c0441701f363e21720de4bb874363db34b0beee29fdcacac60f5efaf3</x:v>
      </x:c>
      <x:c r="D9" s="97" t="str">
        <x:v>No copiado</x:v>
      </x:c>
      <x:c r="E9" s="97" t="str">
        <x:v>Duplicado exacto de BD_FINANZAS_NUVA.xlsx; no se copio dos veces.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1299991607666" hidden="0" customWidth="1"/>
    <x:col min="2" max="2" width="6.130000114440918" hidden="0" customWidth="1"/>
    <x:col min="3" max="3" width="5.75" hidden="0" customWidth="1"/>
    <x:col min="4" max="4" width="44.880001068115234" hidden="0" customWidth="1"/>
  </x:cols>
  <x:sheetData>
    <x:row r="1">
      <x:c r="A1" s="102" t="str">
        <x:v>MODEL STATUS</x:v>
      </x:c>
      <x:c r="B1" s="102" t="str">
        <x:f>IF(COUNTIF(C4:C8,"REVISAR")=0,"PASS","FAIL")</x:f>
        <x:v>PASS</x:v>
      </x:c>
      <x:c r="C1" s="102"/>
      <x:c r="D1" s="102"/>
    </x:row>
    <x:row r="2">
      <x:c r="A2" s="97"/>
      <x:c r="B2" s="97"/>
      <x:c r="C2" s="97"/>
      <x:c r="D2" s="97"/>
    </x:row>
    <x:row r="3">
      <x:c r="A3" s="96" t="str">
        <x:v>Check</x:v>
      </x:c>
      <x:c r="B3" s="96" t="str">
        <x:v>Delta</x:v>
      </x:c>
      <x:c r="C3" s="96" t="str">
        <x:v>Estado</x:v>
      </x:c>
      <x:c r="D3" s="96" t="str">
        <x:v>Donde revisar</x:v>
      </x:c>
    </x:row>
    <x:row r="4">
      <x:c r="A4" s="97" t="str">
        <x:v>Sell-in unidades Dashboard vs CRM</x:v>
      </x:c>
      <x:c r="B4" s="103" t="n">
        <x:f>'Dashboard'!B16-SUMIF('CRM_09_Sell_In'!$A$2:$A$1000,"&gt;0",'CRM_09_Sell_In'!$H$2:$H$1000)</x:f>
        <x:v>0</x:v>
      </x:c>
      <x:c r="C4" s="97" t="str">
        <x:f>IF(ABS(B4)&lt;0.01,"OK","REVISAR")</x:f>
        <x:v>OK</x:v>
      </x:c>
      <x:c r="D4" s="97" t="str">
        <x:v>Dashboard B16 / CRM_09_Sell_In H</x:v>
      </x:c>
    </x:row>
    <x:row r="5">
      <x:c r="A5" s="97" t="str">
        <x:v>Venta neta Dashboard vs CRM</x:v>
      </x:c>
      <x:c r="B5" s="103" t="n">
        <x:f>'Dashboard'!E16-SUMIF('CRM_09_Sell_In'!$A$2:$A$1000,"&gt;0",'CRM_09_Sell_In'!$K$2:$K$1000)</x:f>
        <x:v>0</x:v>
      </x:c>
      <x:c r="C5" s="97" t="str">
        <x:f>IF(ABS(B5)&lt;0.01,"OK","REVISAR")</x:f>
        <x:v>OK</x:v>
      </x:c>
      <x:c r="D5" s="97" t="str">
        <x:v>Dashboard E16 / CRM_09_Sell_In K</x:v>
      </x:c>
    </x:row>
    <x:row r="6">
      <x:c r="A6" s="97" t="str">
        <x:v>Sell-out Dashboard vs SOUT</x:v>
      </x:c>
      <x:c r="B6" s="103" t="n">
        <x:f>'Dashboard'!C16-SUM('SOUT_SELL_OUT'!$F$2:$F$1000)</x:f>
        <x:v>0</x:v>
      </x:c>
      <x:c r="C6" s="97" t="str">
        <x:f>IF(ABS(B6)&lt;0.01,"OK","REVISAR")</x:f>
        <x:v>OK</x:v>
      </x:c>
      <x:c r="D6" s="97" t="str">
        <x:v>Dashboard C16 / SOUT_SELL_OUT F</x:v>
      </x:c>
    </x:row>
    <x:row r="7">
      <x:c r="A7" s="97" t="str">
        <x:v>CxC Dashboard vs CRM</x:v>
      </x:c>
      <x:c r="B7" s="103" t="n">
        <x:f>'Dashboard'!C5-SUMIFS('CRM_09_Sell_In'!$K$2:$K$1000,'CRM_09_Sell_In'!$A$2:$A$1000,"&gt;0",'CRM_09_Sell_In'!$N$2:$N$1000,"Emitida")</x:f>
        <x:v>0</x:v>
      </x:c>
      <x:c r="C7" s="97" t="str">
        <x:f>IF(ABS(B7)&lt;0.01,"OK","REVISAR")</x:f>
        <x:v>OK</x:v>
      </x:c>
      <x:c r="D7" s="97" t="str">
        <x:v>Dashboard C5 / CRM_09_Sell_In N,K</x:v>
      </x:c>
    </x:row>
    <x:row r="8">
      <x:c r="A8" s="97" t="str">
        <x:v>Finanzas duplicadas</x:v>
      </x:c>
      <x:c r="B8" s="103" t="n">
        <x:v>0</x:v>
      </x:c>
      <x:c r="C8" s="97" t="str">
        <x:v>OK</x:v>
      </x:c>
      <x:c r="D8" s="97" t="str">
        <x:v>BD_FINANZAS_NUVA y BD_FINANZAS_NUVA (1) son identicos</x:v>
      </x:c>
    </x:row>
  </x:sheetData>
  <x:pageMargins left="0.7" right="0.7" top="0.75" bottom="0.75" header="0.3" footer="0.3"/>
</x:worksheet>
</file>