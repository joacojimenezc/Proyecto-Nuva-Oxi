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men\OneDrive\Escritorio\Proyecto-Nuva-Oxi\1 venta sell in\"/>
    </mc:Choice>
  </mc:AlternateContent>
  <xr:revisionPtr revIDLastSave="0" documentId="8_{43F4BD09-D69D-4734-82C6-EF96A263399A}" xr6:coauthVersionLast="47" xr6:coauthVersionMax="47" xr10:uidLastSave="{00000000-0000-0000-0000-000000000000}"/>
  <bookViews>
    <workbookView xWindow="-110" yWindow="-110" windowWidth="19420" windowHeight="10300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6" l="1"/>
  <c r="B12" i="6"/>
  <c r="B11" i="6"/>
  <c r="B10" i="6"/>
  <c r="B9" i="6"/>
  <c r="B6" i="6"/>
  <c r="B5" i="6"/>
  <c r="B4" i="6"/>
  <c r="B3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<sst xmlns="http://schemas.openxmlformats.org/spreadsheetml/2006/main" count="143" uniqueCount="101">
  <si>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</si>
  <si>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</si>
  <si>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</si>
  <si>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</si>
  <si>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</si>
  <si>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</si>
  <si>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</si>
  <si>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</si>
  <si>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</si>
  <si>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</si>
  <si>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</si>
  <si>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</si>
  <si>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</si>
  <si>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</si>
  <si>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</si>
  <si>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</si>
  <si>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</si>
  <si>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</si>
  <si>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</si>
  <si>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</si>
  <si>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</si>
  <si>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</si>
  <si>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</si>
  <si>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</si>
  <si>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</si>
  <si>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</si>
  <si>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</si>
  <si>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</si>
  <si>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</si>
  <si>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</si>
  <si>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</si>
  <si>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</si>
  <si>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</si>
  <si>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</si>
  <si>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</si>
  <si>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</si>
  <si>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</si>
  <si>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</si>
  <si>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</si>
  <si>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</si>
  <si>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</si>
  <si>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</si>
  <si>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</si>
  <si>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</si>
  <si>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</si>
  <si>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</si>
  <si>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</si>
  <si>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</si>
  <si>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</si>
  <si>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</si>
  <si>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</si>
  <si>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</si>
  <si>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</si>
  <si>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</si>
  <si>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</si>
  <si>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</si>
  <si>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Barra Cacao 40g</t>
  </si>
  <si>
    <t>Cacao</t>
  </si>
  <si>
    <t>Unitaria</t>
  </si>
  <si>
    <t>Barra Mani 40g</t>
  </si>
  <si>
    <t>Mani</t>
  </si>
  <si>
    <t>Barra Frutal 40g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</si>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</sst>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</cellXfs>
  <cellStyles count="1">
    <cellStyle name="Normal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numFmt numFmtId="164" formatCode="dd\/mm\/yyyy"/>
    </dxf>
    <dxf>
      <numFmt numFmtId="164" formatCode="dd\/mm\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0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3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2"/>
    <tableColumn id="7" xr3:uid="{A2C6BD83-105C-4325-AC80-C6E7D44A2925}" name="N_Guia"/>
    <tableColumn id="8" xr3:uid="{FDD1F0F3-9BD1-47EA-9A0C-F7564F93582B}" name="Fecha_Factura" dataDxfId="1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tabSelected="1" workbookViewId="0"/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95</v>
      </c>
    </row>
    <row r="3" spans="1:2" x14ac:dyDescent="0.35">
      <c r="A3" t="s">
        <v>96</v>
      </c>
      <c r="B3" s="5">
        <f>SUM(VENTAS!F:F)</f>
        <v>92</v>
      </c>
    </row>
    <row r="4" spans="1:2" x14ac:dyDescent="0.35">
      <c r="A4" t="s">
        <v>97</v>
      </c>
      <c r="B4" s="5">
        <f>SUM(VENTAS!G:G)</f>
        <v>358656</v>
      </c>
    </row>
    <row r="5" spans="1:2" x14ac:dyDescent="0.35">
      <c r="A5" t="s">
        <v>98</v>
      </c>
      <c r="B5" s="5">
        <f>SUM(VENTAS!I:I)</f>
        <v>288406</v>
      </c>
    </row>
    <row r="6" spans="1:2" x14ac:dyDescent="0.35">
      <c r="A6" t="s">
        <v>99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100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4"/>
  <sheetViews>
    <sheetView workbookViewId="0"/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67</v>
      </c>
      <c r="B1" s="2" t="s">
        <v>2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72</v>
      </c>
      <c r="H1" s="2" t="s">
        <v>73</v>
      </c>
      <c r="I1" s="2" t="s">
        <v>74</v>
      </c>
      <c r="J1" s="2" t="s">
        <v>75</v>
      </c>
      <c r="K1" s="2" t="s">
        <v>76</v>
      </c>
      <c r="L1" s="2" t="s">
        <v>77</v>
      </c>
      <c r="M1" s="2" t="s">
        <v>78</v>
      </c>
    </row>
    <row r="2" spans="1:13" x14ac:dyDescent="0.35">
      <c r="A2" t="s">
        <v>79</v>
      </c>
      <c r="B2" t="s">
        <v>28</v>
      </c>
      <c r="C2" s="3">
        <v>46032</v>
      </c>
      <c r="D2" t="s">
        <v>80</v>
      </c>
      <c r="E2">
        <v>295000</v>
      </c>
      <c r="F2" s="3">
        <v>46034</v>
      </c>
      <c r="G2" t="s">
        <v>81</v>
      </c>
      <c r="H2" s="3">
        <v>46035</v>
      </c>
      <c r="I2" t="s">
        <v>82</v>
      </c>
      <c r="J2" t="s">
        <v>83</v>
      </c>
      <c r="L2">
        <f ca="1">IF(K2="",TODAY()-C2,K2-C2)</f>
        <v>177</v>
      </c>
      <c r="M2" t="s">
        <v>84</v>
      </c>
    </row>
    <row r="3" spans="1:13" x14ac:dyDescent="0.35">
      <c r="A3" t="s">
        <v>85</v>
      </c>
      <c r="B3" t="s">
        <v>25</v>
      </c>
      <c r="C3" s="3">
        <v>46033</v>
      </c>
      <c r="D3" t="s">
        <v>86</v>
      </c>
      <c r="E3">
        <v>47200</v>
      </c>
      <c r="F3" s="3">
        <v>46034</v>
      </c>
      <c r="G3" t="s">
        <v>87</v>
      </c>
      <c r="H3" s="3">
        <v>46034</v>
      </c>
      <c r="I3" t="s">
        <v>88</v>
      </c>
      <c r="J3" t="s">
        <v>89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90</v>
      </c>
      <c r="B4" t="s">
        <v>12</v>
      </c>
      <c r="C4" s="3">
        <v>46027</v>
      </c>
      <c r="D4" t="s">
        <v>91</v>
      </c>
      <c r="E4">
        <v>22800</v>
      </c>
      <c r="F4" s="3">
        <v>46027</v>
      </c>
      <c r="G4" t="s">
        <v>92</v>
      </c>
      <c r="H4" s="3">
        <v>46027</v>
      </c>
      <c r="I4" t="s">
        <v>93</v>
      </c>
      <c r="J4" t="s">
        <v>94</v>
      </c>
      <c r="K4" s="3">
        <v>46027</v>
      </c>
      <c r="L4">
        <f ca="1">IF(K4="",TODAY()-C4,K4-C4)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7"/>
  <sheetViews>
    <sheetView workbookViewId="0"/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56</v>
      </c>
      <c r="C2" t="s">
        <v>57</v>
      </c>
      <c r="D2" t="s">
        <v>58</v>
      </c>
      <c r="E2">
        <v>1596.6386554621847</v>
      </c>
      <c r="F2">
        <v>250</v>
      </c>
    </row>
    <row r="3" spans="1:6" x14ac:dyDescent="0.35">
      <c r="A3" t="s">
        <v>17</v>
      </c>
      <c r="B3" t="s">
        <v>59</v>
      </c>
      <c r="C3" t="s">
        <v>60</v>
      </c>
      <c r="D3" t="s">
        <v>58</v>
      </c>
      <c r="E3">
        <v>1596.6386554621847</v>
      </c>
      <c r="F3">
        <v>250</v>
      </c>
    </row>
    <row r="4" spans="1:6" x14ac:dyDescent="0.35">
      <c r="A4" t="s">
        <v>20</v>
      </c>
      <c r="B4" t="s">
        <v>61</v>
      </c>
      <c r="C4" t="s">
        <v>62</v>
      </c>
      <c r="D4" t="s">
        <v>58</v>
      </c>
      <c r="E4">
        <v>1596.6386554621847</v>
      </c>
      <c r="F4">
        <v>250</v>
      </c>
    </row>
    <row r="5" spans="1:6" x14ac:dyDescent="0.35">
      <c r="A5" t="s">
        <v>24</v>
      </c>
      <c r="B5" t="s">
        <v>63</v>
      </c>
      <c r="C5" t="s">
        <v>57</v>
      </c>
      <c r="D5" t="s">
        <v>64</v>
      </c>
      <c r="E5">
        <v>4957.9831932773113</v>
      </c>
      <c r="F5">
        <v>1000</v>
      </c>
    </row>
    <row r="6" spans="1:6" x14ac:dyDescent="0.35">
      <c r="A6" t="s">
        <v>27</v>
      </c>
      <c r="B6" t="s">
        <v>65</v>
      </c>
      <c r="C6" t="s">
        <v>60</v>
      </c>
      <c r="D6" t="s">
        <v>64</v>
      </c>
      <c r="E6">
        <v>4957.9831932773113</v>
      </c>
      <c r="F6">
        <v>1000</v>
      </c>
    </row>
    <row r="7" spans="1:6" x14ac:dyDescent="0.35">
      <c r="A7" t="s">
        <v>30</v>
      </c>
      <c r="B7" t="s">
        <v>66</v>
      </c>
      <c r="C7" t="s">
        <v>62</v>
      </c>
      <c r="D7" t="s">
        <v>64</v>
      </c>
      <c r="E7">
        <v>4957.9831932773113</v>
      </c>
      <c r="F7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/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L7"/>
  <sheetViews>
    <sheetView workbookViewId="0"/>
  </sheetViews>
  <sheetFormatPr baseColWidth="10" defaultRowHeight="14.5" x14ac:dyDescent="0.35"/>
  <cols>
    <col min="1" max="1" width="8.26953125" bestFit="1" customWidth="1"/>
    <col min="2" max="2" width="5.90625" bestFit="1" customWidth="1"/>
    <col min="3" max="3" width="9.54296875" bestFit="1" customWidth="1"/>
    <col min="4" max="4" width="6.90625" bestFit="1" customWidth="1"/>
    <col min="5" max="5" width="10.453125" bestFit="1" customWidth="1"/>
    <col min="6" max="6" width="4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5">
      <c r="A2">
        <v>1</v>
      </c>
      <c r="B2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>
        <v>46057</v>
      </c>
    </row>
    <row r="3" spans="1:12" x14ac:dyDescent="0.35">
      <c r="A3">
        <v>2</v>
      </c>
      <c r="B3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>
        <v>46058</v>
      </c>
    </row>
    <row r="4" spans="1:12" x14ac:dyDescent="0.35">
      <c r="A4">
        <v>3</v>
      </c>
      <c r="B4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</row>
    <row r="5" spans="1:12" x14ac:dyDescent="0.35">
      <c r="A5">
        <v>4</v>
      </c>
      <c r="B5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>
        <v>46061</v>
      </c>
    </row>
    <row r="6" spans="1:12" x14ac:dyDescent="0.35">
      <c r="A6">
        <v>5</v>
      </c>
      <c r="B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2" x14ac:dyDescent="0.35">
      <c r="A7">
        <v>6</v>
      </c>
      <c r="B7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Patricio Jimenez Anguita</cp:lastModifiedBy>
  <dcterms:created xsi:type="dcterms:W3CDTF">2026-07-06T19:27:05Z</dcterms:created>
  <dcterms:modified xsi:type="dcterms:W3CDTF">2026-07-06T19:27:37Z</dcterms:modified>
</cp:coreProperties>
</file>