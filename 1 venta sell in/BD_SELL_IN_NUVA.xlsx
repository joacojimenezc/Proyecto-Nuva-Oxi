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chaytoro365-my.sharepoint.com/personal/jose_vidal_conchaytoro_cl/Documents/Escritorio/Proyecto-Nuva-Oxi/1 venta sell in/"/>
    </mc:Choice>
  </mc:AlternateContent>
  <xr:revisionPtr revIDLastSave="37" documentId="14_{2093FD1B-1272-4C46-A2D8-8D2742D38FBF}" xr6:coauthVersionLast="47" xr6:coauthVersionMax="47" xr10:uidLastSave="{1225F994-A872-413C-8779-10701E883F31}"/>
  <bookViews>
    <workbookView xWindow="-110" yWindow="-110" windowWidth="19420" windowHeight="10300" activeTab="4" xr2:uid="{A457DA66-1803-4DEC-82CE-ADDD8E755DA3}"/>
  </bookViews>
  <sheets>
    <sheet name="ANALISIS" sheetId="6" r:id="rId1"/>
    <sheet name="GESTION_PEDIDOS" sheetId="5" r:id="rId2"/>
    <sheet name="ref_SKU" sheetId="4" r:id="rId3"/>
    <sheet name="ref_Clientes" sheetId="3" r:id="rId4"/>
    <sheet name="VENTAS" sheetId="2" r:id="rId5"/>
  </sheets>
  <definedNames>
    <definedName name="DatosExternos_1" localSheetId="3">ref_Clientes!$A$1:$E$8</definedName>
    <definedName name="DatosExternos_1" localSheetId="2">ref_SKU!$A$1:$F$7</definedName>
    <definedName name="DatosExternos_1" localSheetId="4">VENTAS!$A$1:$L$7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6" l="1"/>
  <c r="B3" i="6"/>
  <c r="B13" i="6"/>
  <c r="B12" i="6"/>
  <c r="B11" i="6"/>
  <c r="B10" i="6"/>
  <c r="B9" i="6"/>
  <c r="B5" i="6"/>
  <c r="B4" i="6"/>
  <c r="L4" i="5"/>
  <c r="L3" i="5"/>
  <c r="L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F5D48A-8EE8-4FF9-8E43-171CAC061F12}" keepAlive="1" name="Conexión" type="5" refreshedVersion="8" saveData="1">
    <dbPr connection="Provider=Microsoft.Mashup.OleDb.1;Data Source=$Workbook$;Location=qVentas;Extended Properties=&quot;&quot;" command="SELECT * FROM [qVentas]"/>
  </connection>
  <connection id="2" xr16:uid="{FC47A2A9-6648-40C5-89C8-D5A85FC65EE0}" keepAlive="1" name="Conexión1" type="5" refreshedVersion="8" saveData="1">
    <dbPr connection="Provider=Microsoft.Mashup.OleDb.1;Data Source=$Workbook$;Location=qClientes;Extended Properties=&quot;&quot;" command="SELECT * FROM [qClientes]"/>
  </connection>
  <connection id="3" xr16:uid="{966E9035-54EB-46B2-9514-6E6BD11C00AB}" keepAlive="1" name="Conexión2" type="5" refreshedVersion="8" saveData="1">
    <dbPr connection="Provider=Microsoft.Mashup.OleDb.1;Data Source=$Workbook$;Location=qSKU;Extended Properties=&quot;&quot;" command="SELECT * FROM [qSKU]"/>
  </connection>
</connections>
</file>

<file path=xl/sharedStrings.xml><?xml version="1.0" encoding="utf-8"?>
<sst xmlns="http://schemas.openxmlformats.org/spreadsheetml/2006/main" count="170" uniqueCount="127">
  <si>
    <t>ID_Venta</t>
  </si>
  <si>
    <t>Fecha</t>
  </si>
  <si>
    <t>ID_Cliente</t>
  </si>
  <si>
    <t>ID_PDV</t>
  </si>
  <si>
    <t>SKU</t>
  </si>
  <si>
    <t>Uds</t>
  </si>
  <si>
    <t>Venta_Neta</t>
  </si>
  <si>
    <t>Costo_Total</t>
  </si>
  <si>
    <t>Margen</t>
  </si>
  <si>
    <t>Estado_Factura</t>
  </si>
  <si>
    <t>Fecha_Venc</t>
  </si>
  <si>
    <t>Fecha_Pago</t>
  </si>
  <si>
    <t>CL-DEL</t>
  </si>
  <si>
    <t>D001</t>
  </si>
  <si>
    <t>SKU-CAC-U</t>
  </si>
  <si>
    <t>Pagada</t>
  </si>
  <si>
    <t>D002</t>
  </si>
  <si>
    <t>SKU-MAN-U</t>
  </si>
  <si>
    <t>CL-ALN</t>
  </si>
  <si>
    <t>AN01</t>
  </si>
  <si>
    <t>SKU-FRU-U</t>
  </si>
  <si>
    <t>Emitida</t>
  </si>
  <si>
    <t>CL-PIR</t>
  </si>
  <si>
    <t>P001</t>
  </si>
  <si>
    <t>SKU-CAC-4</t>
  </si>
  <si>
    <t>CL-RITZ</t>
  </si>
  <si>
    <t>H001</t>
  </si>
  <si>
    <t>SKU-MAN-4</t>
  </si>
  <si>
    <t>CL-CEN</t>
  </si>
  <si>
    <t>J001</t>
  </si>
  <si>
    <t>SKU-FRU-4</t>
  </si>
  <si>
    <t>Cadena</t>
  </si>
  <si>
    <t>Segmento</t>
  </si>
  <si>
    <t>Plazo_Pago</t>
  </si>
  <si>
    <t>Condicion</t>
  </si>
  <si>
    <t>Cencosud</t>
  </si>
  <si>
    <t>Retail Moderno</t>
  </si>
  <si>
    <t>Credito</t>
  </si>
  <si>
    <t>Dellanatura</t>
  </si>
  <si>
    <t>Canal Especializado</t>
  </si>
  <si>
    <t>Contado</t>
  </si>
  <si>
    <t>All Nutrition</t>
  </si>
  <si>
    <t>CL-CORG</t>
  </si>
  <si>
    <t>Central Organica</t>
  </si>
  <si>
    <t>CL-FORK</t>
  </si>
  <si>
    <t>Fork</t>
  </si>
  <si>
    <t>Canal Conveniencia</t>
  </si>
  <si>
    <t>Pirque CDV</t>
  </si>
  <si>
    <t>Canal Turistico</t>
  </si>
  <si>
    <t>Ritz-Carlton</t>
  </si>
  <si>
    <t>HoReCa</t>
  </si>
  <si>
    <t>Descripcion</t>
  </si>
  <si>
    <t>Sabor</t>
  </si>
  <si>
    <t>Formato</t>
  </si>
  <si>
    <t>PVP_Neto</t>
  </si>
  <si>
    <t>Costo_Unit</t>
  </si>
  <si>
    <t>Cacao</t>
  </si>
  <si>
    <t>Unitaria</t>
  </si>
  <si>
    <t>Mani</t>
  </si>
  <si>
    <t>Frutal</t>
  </si>
  <si>
    <t>Estuche Cacao x4</t>
  </si>
  <si>
    <t>Estuche x4</t>
  </si>
  <si>
    <t>Estuche Mani x4</t>
  </si>
  <si>
    <t>Estuche Frutal x4</t>
  </si>
  <si>
    <t>ID_Pedido</t>
  </si>
  <si>
    <t>Fecha_OC</t>
  </si>
  <si>
    <t>N_OC</t>
  </si>
  <si>
    <t>Monto_OC</t>
  </si>
  <si>
    <t>Fecha_Despacho</t>
  </si>
  <si>
    <t>N_Guia</t>
  </si>
  <si>
    <t>Fecha_Factura</t>
  </si>
  <si>
    <t>N_Factura</t>
  </si>
  <si>
    <t>Estado</t>
  </si>
  <si>
    <t>Fecha_Pago_Real</t>
  </si>
  <si>
    <t>Dias_Ciclo</t>
  </si>
  <si>
    <t>Notas</t>
  </si>
  <si>
    <t>PED001</t>
  </si>
  <si>
    <t>OC-88231</t>
  </si>
  <si>
    <t>G-1201</t>
  </si>
  <si>
    <t>F-5501</t>
  </si>
  <si>
    <t>Facturado</t>
  </si>
  <si>
    <t>B2B Cencosud</t>
  </si>
  <si>
    <t>PED002</t>
  </si>
  <si>
    <t>OC-RC-19</t>
  </si>
  <si>
    <t>G-1202</t>
  </si>
  <si>
    <t>F-5502</t>
  </si>
  <si>
    <t>Pagado</t>
  </si>
  <si>
    <t>PED003</t>
  </si>
  <si>
    <t>OC-DL-03</t>
  </si>
  <si>
    <t>G-1150</t>
  </si>
  <si>
    <t>F-5490</t>
  </si>
  <si>
    <t>Cerrado</t>
  </si>
  <si>
    <t>ANALISIS SELL-IN (conectado al CRM)</t>
  </si>
  <si>
    <t>Total Uds</t>
  </si>
  <si>
    <t>Total Venta Neta</t>
  </si>
  <si>
    <t>Total Margen</t>
  </si>
  <si>
    <t>CxC Emitida (pendiente)</t>
  </si>
  <si>
    <t>Venta por Cliente</t>
  </si>
  <si>
    <t>precio cotizacion</t>
  </si>
  <si>
    <t>Barra Cacao 35g</t>
  </si>
  <si>
    <t>Barra Mani 35g</t>
  </si>
  <si>
    <t>Barra Frutal 35g</t>
  </si>
  <si>
    <t>revisar</t>
  </si>
  <si>
    <t>Vista equipo</t>
  </si>
  <si>
    <t>agregar form</t>
  </si>
  <si>
    <t>dejar en uno solo</t>
  </si>
  <si>
    <t>Cobertura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</si>
  <si>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</si>
  <si>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</si>
  <si>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</si>
  <si>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</si>
  <si>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</si>
  <si>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</si>
  <si>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</si>
  <si>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</si>
  <si>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</si>
  <si>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</si>
  <si>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Julio</t>
  </si>
  <si>
    <t>ok</t>
  </si>
  <si>
    <t>pendiente</t>
  </si>
  <si>
    <t>semana 1</t>
  </si>
  <si>
    <t>resultado</t>
  </si>
  <si>
    <t>plan de ejecucion</t>
  </si>
  <si>
    <t>variable</t>
  </si>
  <si>
    <t>restriccion</t>
  </si>
  <si>
    <t>semanal</t>
  </si>
  <si>
    <t>Obligatorio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</si>
</sst>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#.##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2C5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164" fontId="0" fillId="0" borderId="0" xfId="0" applyNumberFormat="1"/>
    <xf numFmtId="0" fontId="3" fillId="0" borderId="0" xfId="0" applyFont="1"/>
    <xf numFmtId="165" fontId="0" fillId="0" borderId="0" xfId="0" applyNumberFormat="1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4">
    <dxf>
      <numFmt numFmtId="164" formatCode="dd\/mm\/yyyy"/>
    </dxf>
    <dxf>
      <numFmt numFmtId="164" formatCode="dd\/mm\/yyyy"/>
    </dxf>
    <dxf>
      <numFmt numFmtId="164" formatCode="dd\/mm\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C2C5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3" xr16:uid="{0F5FA7B2-8C44-43FB-8CD6-37498EDE3046}" autoFormatId="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SKU"/>
      <queryTableField id="2" name="Descripcion"/>
      <queryTableField id="3" name="Sabor"/>
      <queryTableField id="4" name="Formato"/>
      <queryTableField id="5" name="PVP_Neto"/>
      <queryTableField id="6" name="Costo_Unit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2" xr16:uid="{059434D5-8BD0-4F8C-A526-3CA0CC90B231}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ID_Cliente"/>
      <queryTableField id="2" name="Cadena"/>
      <queryTableField id="3" name="Segmento"/>
      <queryTableField id="4" name="Plazo_Pago"/>
      <queryTableField id="5" name="Condicion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1" xr16:uid="{D3486900-6569-4B7C-B619-89FD4D9F8F93}" autoFormatId="0" applyNumberFormats="0" applyBorderFormats="0" applyFontFormats="1" applyPatternFormats="1" applyAlignmentFormats="0" applyWidthHeightFormats="0">
  <queryTableRefresh preserveSortFilterLayout="0" nextId="13">
    <queryTableFields count="12">
      <queryTableField id="1" name="ID_Venta"/>
      <queryTableField id="2" name="Fecha"/>
      <queryTableField id="3" name="ID_Cliente"/>
      <queryTableField id="4" name="ID_PDV"/>
      <queryTableField id="5" name="SKU"/>
      <queryTableField id="6" name="Uds"/>
      <queryTableField id="7" name="Venta_Neta"/>
      <queryTableField id="8" name="Costo_Total"/>
      <queryTableField id="9" name="Margen"/>
      <queryTableField id="10" name="Estado_Factura"/>
      <queryTableField id="11" name="Fecha_Venc"/>
      <queryTableField id="12" name="Fecha_Pago"/>
    </queryTableFields>
  </queryTableRefresh>
</queryTable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A14279-21ED-476D-8ADB-89B1E1EFEBD1}" name="tblPedidosSI" displayName="tblPedidosSI" ref="A1:M4" totalsRowShown="0" headerRowDxfId="3">
  <autoFilter ref="A1:M4" xr:uid="{3BA14279-21ED-476D-8ADB-89B1E1EFEBD1}"/>
  <tableColumns count="13">
    <tableColumn id="1" xr3:uid="{3A007A5C-2B0C-4021-B913-2CB602DD85FE}" name="ID_Pedido"/>
    <tableColumn id="2" xr3:uid="{20B450C2-00CF-402E-9F8A-BF7F9800E723}" name="ID_Cliente"/>
    <tableColumn id="3" xr3:uid="{F162E49B-EBF5-4470-9B61-3FC090AFFF55}" name="Fecha_OC" dataDxfId="2"/>
    <tableColumn id="4" xr3:uid="{219F1893-77C4-40D0-A30F-A7C14F23AFF7}" name="N_OC"/>
    <tableColumn id="5" xr3:uid="{35F2501B-1F67-4A70-8749-0D2CE4328C1B}" name="Monto_OC"/>
    <tableColumn id="6" xr3:uid="{263F3E60-2DFA-456B-A9B4-356D717B4B06}" name="Fecha_Despacho" dataDxfId="1"/>
    <tableColumn id="7" xr3:uid="{A2C6BD83-105C-4325-AC80-C6E7D44A2925}" name="N_Guia"/>
    <tableColumn id="8" xr3:uid="{FDD1F0F3-9BD1-47EA-9A0C-F7564F93582B}" name="Fecha_Factura" dataDxfId="0"/>
    <tableColumn id="9" xr3:uid="{65D18860-823E-4C8B-AA69-B8822DCE4B05}" name="N_Factura"/>
    <tableColumn id="10" xr3:uid="{2466B7DD-4732-4EC2-958D-70BB92DF14CE}" name="Estado"/>
    <tableColumn id="11" xr3:uid="{D7DBEAA5-7731-4F6C-A163-D8FA6FC79157}" name="Fecha_Pago_Real"/>
    <tableColumn id="12" xr3:uid="{84121D0D-A61A-414E-BCF9-E2E3AF382CFD}" name="Dias_Ciclo">
      <calculatedColumnFormula>IF(K2="",TODAY()-C2,K2-C2)</calculatedColumnFormula>
    </tableColumn>
    <tableColumn id="13" xr3:uid="{0F666207-2060-4A95-9177-BA7DDC59615D}" name="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F95EC-00CC-4077-875B-46F8B3AB7F9A}">
  <dimension ref="A1:B13"/>
  <sheetViews>
    <sheetView workbookViewId="0">
      <selection activeCell="D12" sqref="D12"/>
    </sheetView>
  </sheetViews>
  <sheetFormatPr baseColWidth="10" defaultRowHeight="14.5" x14ac:dyDescent="0.35"/>
  <cols>
    <col min="1" max="1" width="41" bestFit="1" customWidth="1"/>
    <col min="2" max="2" width="8.36328125" bestFit="1" customWidth="1"/>
  </cols>
  <sheetData>
    <row r="1" spans="1:2" ht="18.5" x14ac:dyDescent="0.45">
      <c r="A1" s="4" t="s">
        <v>92</v>
      </c>
    </row>
    <row r="3" spans="1:2" x14ac:dyDescent="0.35">
      <c r="A3" t="s">
        <v>93</v>
      </c>
      <c r="B3" s="5">
        <f>SUM(VENTAS!F:F)</f>
        <v>46396</v>
      </c>
    </row>
    <row r="4" spans="1:2" x14ac:dyDescent="0.35">
      <c r="A4" t="s">
        <v>94</v>
      </c>
      <c r="B4" s="5">
        <f>SUM(VENTAS!G:G)</f>
        <v>358656</v>
      </c>
    </row>
    <row r="5" spans="1:2" x14ac:dyDescent="0.35">
      <c r="A5" t="s">
        <v>95</v>
      </c>
      <c r="B5" s="5">
        <f>SUM(VENTAS!I:I)</f>
        <v>288406</v>
      </c>
    </row>
    <row r="6" spans="1:2" x14ac:dyDescent="0.35">
      <c r="A6" t="s">
        <v>96</v>
      </c>
      <c r="B6" s="5">
        <f>SUMIF(VENTAS!J:J,"Emitida",VENTAS!G:G)</f>
        <v>301933</v>
      </c>
    </row>
    <row r="7" spans="1:2" x14ac:dyDescent="0.35">
      <c r="B7" s="5"/>
    </row>
    <row r="8" spans="1:2" x14ac:dyDescent="0.35">
      <c r="A8" s="1" t="s">
        <v>97</v>
      </c>
      <c r="B8" s="5"/>
    </row>
    <row r="9" spans="1:2" x14ac:dyDescent="0.35">
      <c r="A9" t="s">
        <v>12</v>
      </c>
      <c r="B9" s="5">
        <f>SUMIF(VENTAS!C:C,A9,VENTAS!G:G)</f>
        <v>31933</v>
      </c>
    </row>
    <row r="10" spans="1:2" x14ac:dyDescent="0.35">
      <c r="A10" t="s">
        <v>18</v>
      </c>
      <c r="B10" s="5">
        <f>SUMIF(VENTAS!C:C,A10,VENTAS!G:G)</f>
        <v>14370</v>
      </c>
    </row>
    <row r="11" spans="1:2" x14ac:dyDescent="0.35">
      <c r="A11" t="s">
        <v>22</v>
      </c>
      <c r="B11" s="5">
        <f>SUMIF(VENTAS!C:C,A11,VENTAS!G:G)</f>
        <v>24790</v>
      </c>
    </row>
    <row r="12" spans="1:2" x14ac:dyDescent="0.35">
      <c r="A12" t="s">
        <v>25</v>
      </c>
      <c r="B12" s="5">
        <f>SUMIF(VENTAS!C:C,A12,VENTAS!G:G)</f>
        <v>39664</v>
      </c>
    </row>
    <row r="13" spans="1:2" x14ac:dyDescent="0.35">
      <c r="A13" t="s">
        <v>28</v>
      </c>
      <c r="B13" s="5">
        <f>SUMIF(VENTAS!C:C,A13,VENTAS!G:G)</f>
        <v>247899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EA1F5-A53B-4A26-9C3F-8085720778A8}">
  <dimension ref="A1:M6"/>
  <sheetViews>
    <sheetView workbookViewId="0">
      <selection activeCell="A7" sqref="A7"/>
    </sheetView>
  </sheetViews>
  <sheetFormatPr baseColWidth="10" defaultRowHeight="14.5" x14ac:dyDescent="0.35"/>
  <cols>
    <col min="1" max="1" width="11.26953125" customWidth="1"/>
    <col min="2" max="2" width="11.54296875" customWidth="1"/>
    <col min="3" max="3" width="11.26953125" customWidth="1"/>
    <col min="4" max="4" width="9.08984375" bestFit="1" customWidth="1"/>
    <col min="5" max="5" width="11.36328125" customWidth="1"/>
    <col min="6" max="6" width="17.08984375" customWidth="1"/>
    <col min="7" max="7" width="8.81640625" customWidth="1"/>
    <col min="8" max="8" width="15.08984375" customWidth="1"/>
    <col min="9" max="9" width="11.26953125" customWidth="1"/>
    <col min="10" max="10" width="9.08984375" bestFit="1" customWidth="1"/>
    <col min="11" max="11" width="17.26953125" customWidth="1"/>
    <col min="12" max="12" width="11.7265625" customWidth="1"/>
    <col min="13" max="13" width="12.54296875" bestFit="1" customWidth="1"/>
  </cols>
  <sheetData>
    <row r="1" spans="1:13" x14ac:dyDescent="0.35">
      <c r="A1" s="2" t="s">
        <v>64</v>
      </c>
      <c r="B1" s="2" t="s">
        <v>2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  <c r="J1" s="2" t="s">
        <v>72</v>
      </c>
      <c r="K1" s="2" t="s">
        <v>73</v>
      </c>
      <c r="L1" s="2" t="s">
        <v>74</v>
      </c>
      <c r="M1" s="2" t="s">
        <v>75</v>
      </c>
    </row>
    <row r="2" spans="1:13" x14ac:dyDescent="0.35">
      <c r="A2" t="s">
        <v>76</v>
      </c>
      <c r="B2" t="s">
        <v>28</v>
      </c>
      <c r="C2" s="3">
        <v>46032</v>
      </c>
      <c r="D2" t="s">
        <v>77</v>
      </c>
      <c r="E2">
        <v>295000</v>
      </c>
      <c r="F2" s="3">
        <v>46034</v>
      </c>
      <c r="G2" t="s">
        <v>78</v>
      </c>
      <c r="H2" s="3">
        <v>46035</v>
      </c>
      <c r="I2" t="s">
        <v>79</v>
      </c>
      <c r="J2" t="s">
        <v>80</v>
      </c>
      <c r="L2">
        <f ca="1">IF(K2="",TODAY()-C2,K2-C2)</f>
        <v>179</v>
      </c>
      <c r="M2" t="s">
        <v>81</v>
      </c>
    </row>
    <row r="3" spans="1:13" x14ac:dyDescent="0.35">
      <c r="A3" t="s">
        <v>82</v>
      </c>
      <c r="B3" t="s">
        <v>25</v>
      </c>
      <c r="C3" s="3">
        <v>46033</v>
      </c>
      <c r="D3" t="s">
        <v>83</v>
      </c>
      <c r="E3">
        <v>47200</v>
      </c>
      <c r="F3" s="3">
        <v>46034</v>
      </c>
      <c r="G3" t="s">
        <v>84</v>
      </c>
      <c r="H3" s="3">
        <v>46034</v>
      </c>
      <c r="I3" t="s">
        <v>85</v>
      </c>
      <c r="J3" t="s">
        <v>86</v>
      </c>
      <c r="K3" s="3">
        <v>46037</v>
      </c>
      <c r="L3">
        <f ca="1">IF(K3="",TODAY()-C3,K3-C3)</f>
        <v>4</v>
      </c>
      <c r="M3" t="s">
        <v>40</v>
      </c>
    </row>
    <row r="4" spans="1:13" x14ac:dyDescent="0.35">
      <c r="A4" t="s">
        <v>87</v>
      </c>
      <c r="B4" t="s">
        <v>12</v>
      </c>
      <c r="C4" s="3">
        <v>46027</v>
      </c>
      <c r="D4" t="s">
        <v>88</v>
      </c>
      <c r="E4">
        <v>22800</v>
      </c>
      <c r="F4" s="3">
        <v>46027</v>
      </c>
      <c r="G4" t="s">
        <v>89</v>
      </c>
      <c r="H4" s="3">
        <v>46027</v>
      </c>
      <c r="I4" t="s">
        <v>90</v>
      </c>
      <c r="J4" t="s">
        <v>91</v>
      </c>
      <c r="K4" s="3">
        <v>46027</v>
      </c>
      <c r="L4">
        <f ca="1">IF(K4="",TODAY()-C4,K4-C4)</f>
        <v>0</v>
      </c>
    </row>
    <row r="6" spans="1:13" x14ac:dyDescent="0.35">
      <c r="A6" t="s">
        <v>105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2B3CB-4D88-4B27-895C-0C806C7E03D9}">
  <dimension ref="A1:F8"/>
  <sheetViews>
    <sheetView workbookViewId="0">
      <selection activeCell="E2" sqref="E2:E7"/>
    </sheetView>
  </sheetViews>
  <sheetFormatPr baseColWidth="10" defaultRowHeight="14.5" x14ac:dyDescent="0.35"/>
  <cols>
    <col min="1" max="1" width="10.453125" bestFit="1" customWidth="1"/>
    <col min="2" max="2" width="15.1796875" bestFit="1" customWidth="1"/>
    <col min="3" max="3" width="6.08984375" bestFit="1" customWidth="1"/>
    <col min="4" max="4" width="9.54296875" bestFit="1" customWidth="1"/>
    <col min="5" max="5" width="11.81640625" bestFit="1" customWidth="1"/>
    <col min="6" max="6" width="10" bestFit="1" customWidth="1"/>
  </cols>
  <sheetData>
    <row r="1" spans="1:6" x14ac:dyDescent="0.35">
      <c r="A1" s="1" t="s">
        <v>4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 x14ac:dyDescent="0.35">
      <c r="A2" t="s">
        <v>14</v>
      </c>
      <c r="B2" t="s">
        <v>99</v>
      </c>
      <c r="C2" t="s">
        <v>56</v>
      </c>
      <c r="D2" t="s">
        <v>57</v>
      </c>
      <c r="E2">
        <v>1596.6386554621847</v>
      </c>
      <c r="F2">
        <v>250</v>
      </c>
    </row>
    <row r="3" spans="1:6" x14ac:dyDescent="0.35">
      <c r="A3" t="s">
        <v>17</v>
      </c>
      <c r="B3" t="s">
        <v>100</v>
      </c>
      <c r="C3" t="s">
        <v>58</v>
      </c>
      <c r="D3" t="s">
        <v>57</v>
      </c>
      <c r="E3">
        <v>1596.6386554621847</v>
      </c>
      <c r="F3">
        <v>250</v>
      </c>
    </row>
    <row r="4" spans="1:6" x14ac:dyDescent="0.35">
      <c r="A4" t="s">
        <v>20</v>
      </c>
      <c r="B4" t="s">
        <v>101</v>
      </c>
      <c r="C4" t="s">
        <v>59</v>
      </c>
      <c r="D4" t="s">
        <v>57</v>
      </c>
      <c r="E4">
        <v>1596.6386554621847</v>
      </c>
      <c r="F4">
        <v>250</v>
      </c>
    </row>
    <row r="5" spans="1:6" x14ac:dyDescent="0.35">
      <c r="A5" t="s">
        <v>24</v>
      </c>
      <c r="B5" t="s">
        <v>60</v>
      </c>
      <c r="C5" t="s">
        <v>56</v>
      </c>
      <c r="D5" t="s">
        <v>61</v>
      </c>
      <c r="E5">
        <v>4957.9831932773113</v>
      </c>
      <c r="F5">
        <v>1000</v>
      </c>
    </row>
    <row r="6" spans="1:6" x14ac:dyDescent="0.35">
      <c r="A6" t="s">
        <v>27</v>
      </c>
      <c r="B6" t="s">
        <v>62</v>
      </c>
      <c r="C6" t="s">
        <v>58</v>
      </c>
      <c r="D6" t="s">
        <v>61</v>
      </c>
      <c r="E6">
        <v>4957.9831932773113</v>
      </c>
      <c r="F6">
        <v>1000</v>
      </c>
    </row>
    <row r="7" spans="1:6" x14ac:dyDescent="0.35">
      <c r="A7" t="s">
        <v>30</v>
      </c>
      <c r="B7" t="s">
        <v>63</v>
      </c>
      <c r="C7" t="s">
        <v>59</v>
      </c>
      <c r="D7" t="s">
        <v>61</v>
      </c>
      <c r="E7">
        <v>4957.9831932773113</v>
      </c>
      <c r="F7">
        <v>1000</v>
      </c>
    </row>
    <row r="8" spans="1:6" x14ac:dyDescent="0.35">
      <c r="E8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4697E-0361-4916-93EC-17AB92A87759}">
  <dimension ref="A1:E8"/>
  <sheetViews>
    <sheetView workbookViewId="0">
      <selection activeCell="E11" sqref="E11"/>
    </sheetView>
  </sheetViews>
  <sheetFormatPr baseColWidth="10" defaultRowHeight="14.5" x14ac:dyDescent="0.35"/>
  <cols>
    <col min="1" max="1" width="9.54296875" bestFit="1" customWidth="1"/>
    <col min="2" max="2" width="14.54296875" bestFit="1" customWidth="1"/>
    <col min="3" max="3" width="17.08984375" bestFit="1" customWidth="1"/>
    <col min="4" max="4" width="10.08984375" bestFit="1" customWidth="1"/>
    <col min="5" max="5" width="9.453125" bestFit="1" customWidth="1"/>
  </cols>
  <sheetData>
    <row r="1" spans="1:5" x14ac:dyDescent="0.35">
      <c r="A1" s="1" t="s">
        <v>2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35">
      <c r="A2" t="s">
        <v>28</v>
      </c>
      <c r="B2" t="s">
        <v>35</v>
      </c>
      <c r="C2" t="s">
        <v>36</v>
      </c>
      <c r="D2">
        <v>30</v>
      </c>
      <c r="E2" t="s">
        <v>37</v>
      </c>
    </row>
    <row r="3" spans="1:5" x14ac:dyDescent="0.35">
      <c r="A3" t="s">
        <v>12</v>
      </c>
      <c r="B3" t="s">
        <v>38</v>
      </c>
      <c r="C3" t="s">
        <v>39</v>
      </c>
      <c r="D3">
        <v>0</v>
      </c>
      <c r="E3" t="s">
        <v>40</v>
      </c>
    </row>
    <row r="4" spans="1:5" x14ac:dyDescent="0.35">
      <c r="A4" t="s">
        <v>18</v>
      </c>
      <c r="B4" t="s">
        <v>41</v>
      </c>
      <c r="C4" t="s">
        <v>39</v>
      </c>
      <c r="D4">
        <v>0</v>
      </c>
      <c r="E4" t="s">
        <v>40</v>
      </c>
    </row>
    <row r="5" spans="1:5" x14ac:dyDescent="0.35">
      <c r="A5" t="s">
        <v>42</v>
      </c>
      <c r="B5" t="s">
        <v>43</v>
      </c>
      <c r="C5" t="s">
        <v>39</v>
      </c>
      <c r="D5">
        <v>0</v>
      </c>
      <c r="E5" t="s">
        <v>40</v>
      </c>
    </row>
    <row r="6" spans="1:5" x14ac:dyDescent="0.35">
      <c r="A6" t="s">
        <v>44</v>
      </c>
      <c r="B6" t="s">
        <v>45</v>
      </c>
      <c r="C6" t="s">
        <v>46</v>
      </c>
      <c r="D6">
        <v>0</v>
      </c>
      <c r="E6" t="s">
        <v>40</v>
      </c>
    </row>
    <row r="7" spans="1:5" x14ac:dyDescent="0.35">
      <c r="A7" t="s">
        <v>22</v>
      </c>
      <c r="B7" t="s">
        <v>47</v>
      </c>
      <c r="C7" t="s">
        <v>48</v>
      </c>
      <c r="D7">
        <v>0</v>
      </c>
      <c r="E7" t="s">
        <v>40</v>
      </c>
    </row>
    <row r="8" spans="1:5" x14ac:dyDescent="0.35">
      <c r="A8" t="s">
        <v>25</v>
      </c>
      <c r="B8" t="s">
        <v>49</v>
      </c>
      <c r="C8" t="s">
        <v>50</v>
      </c>
      <c r="D8">
        <v>0</v>
      </c>
      <c r="E8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91C53-D7D2-42B7-8F5B-EDC2F2628FCD}">
  <dimension ref="A1:M23"/>
  <sheetViews>
    <sheetView tabSelected="1" topLeftCell="A2" workbookViewId="0">
      <selection activeCell="H14" sqref="H14"/>
    </sheetView>
  </sheetViews>
  <sheetFormatPr baseColWidth="10" defaultRowHeight="14.5" x14ac:dyDescent="0.35"/>
  <cols>
    <col min="1" max="1" width="8.26953125" bestFit="1" customWidth="1"/>
    <col min="2" max="2" width="10.08984375" bestFit="1" customWidth="1"/>
    <col min="3" max="3" width="9.54296875" bestFit="1" customWidth="1"/>
    <col min="4" max="4" width="6.90625" bestFit="1" customWidth="1"/>
    <col min="5" max="5" width="10.453125" bestFit="1" customWidth="1"/>
    <col min="6" max="6" width="6.08984375" bestFit="1" customWidth="1"/>
    <col min="7" max="7" width="10.36328125" bestFit="1" customWidth="1"/>
    <col min="8" max="8" width="10.54296875" bestFit="1" customWidth="1"/>
    <col min="9" max="9" width="6.90625" bestFit="1" customWidth="1"/>
    <col min="10" max="10" width="13.6328125" bestFit="1" customWidth="1"/>
    <col min="12" max="12" width="10.7265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98</v>
      </c>
    </row>
    <row r="2" spans="1:13" x14ac:dyDescent="0.35">
      <c r="A2">
        <v>1</v>
      </c>
      <c r="B2" s="6">
        <v>46027</v>
      </c>
      <c r="C2" t="s">
        <v>12</v>
      </c>
      <c r="D2" t="s">
        <v>13</v>
      </c>
      <c r="E2" t="s">
        <v>14</v>
      </c>
      <c r="F2">
        <v>12</v>
      </c>
      <c r="G2">
        <v>19160</v>
      </c>
      <c r="H2">
        <v>3000</v>
      </c>
      <c r="I2">
        <v>16160</v>
      </c>
      <c r="J2" t="s">
        <v>15</v>
      </c>
      <c r="K2">
        <v>46057</v>
      </c>
      <c r="L2" s="6">
        <v>46057</v>
      </c>
    </row>
    <row r="3" spans="1:13" x14ac:dyDescent="0.35">
      <c r="A3">
        <v>2</v>
      </c>
      <c r="B3" s="6">
        <v>46028</v>
      </c>
      <c r="C3" t="s">
        <v>12</v>
      </c>
      <c r="D3" t="s">
        <v>16</v>
      </c>
      <c r="E3" t="s">
        <v>17</v>
      </c>
      <c r="F3">
        <v>8</v>
      </c>
      <c r="G3">
        <v>12773</v>
      </c>
      <c r="H3">
        <v>2000</v>
      </c>
      <c r="I3">
        <v>10773</v>
      </c>
      <c r="J3" t="s">
        <v>15</v>
      </c>
      <c r="K3">
        <v>46058</v>
      </c>
      <c r="L3" s="6">
        <v>46058</v>
      </c>
    </row>
    <row r="4" spans="1:13" x14ac:dyDescent="0.35">
      <c r="A4">
        <v>3</v>
      </c>
      <c r="B4" s="6">
        <v>46029</v>
      </c>
      <c r="C4" t="s">
        <v>18</v>
      </c>
      <c r="D4" t="s">
        <v>19</v>
      </c>
      <c r="E4" t="s">
        <v>20</v>
      </c>
      <c r="F4">
        <v>9</v>
      </c>
      <c r="G4">
        <v>14370</v>
      </c>
      <c r="H4">
        <v>2250</v>
      </c>
      <c r="I4">
        <v>12120</v>
      </c>
      <c r="J4" t="s">
        <v>21</v>
      </c>
      <c r="K4">
        <v>46059</v>
      </c>
      <c r="L4" s="6"/>
    </row>
    <row r="5" spans="1:13" x14ac:dyDescent="0.35">
      <c r="A5">
        <v>4</v>
      </c>
      <c r="B5" s="6">
        <v>46031</v>
      </c>
      <c r="C5" t="s">
        <v>22</v>
      </c>
      <c r="D5" t="s">
        <v>23</v>
      </c>
      <c r="E5" t="s">
        <v>24</v>
      </c>
      <c r="F5">
        <v>5</v>
      </c>
      <c r="G5">
        <v>24790</v>
      </c>
      <c r="H5">
        <v>5000</v>
      </c>
      <c r="I5">
        <v>19790</v>
      </c>
      <c r="J5" t="s">
        <v>15</v>
      </c>
      <c r="K5">
        <v>46061</v>
      </c>
      <c r="L5" s="6">
        <v>46061</v>
      </c>
    </row>
    <row r="6" spans="1:13" x14ac:dyDescent="0.35">
      <c r="A6">
        <v>5</v>
      </c>
      <c r="B6" s="6">
        <v>46034</v>
      </c>
      <c r="C6" t="s">
        <v>25</v>
      </c>
      <c r="D6" t="s">
        <v>26</v>
      </c>
      <c r="E6" t="s">
        <v>27</v>
      </c>
      <c r="F6">
        <v>8</v>
      </c>
      <c r="G6">
        <v>39664</v>
      </c>
      <c r="H6">
        <v>8000</v>
      </c>
      <c r="I6">
        <v>31664</v>
      </c>
      <c r="J6" t="s">
        <v>21</v>
      </c>
      <c r="K6">
        <v>46064</v>
      </c>
    </row>
    <row r="7" spans="1:13" x14ac:dyDescent="0.35">
      <c r="A7">
        <v>6</v>
      </c>
      <c r="B7" s="6">
        <v>46035</v>
      </c>
      <c r="C7" t="s">
        <v>28</v>
      </c>
      <c r="D7" t="s">
        <v>29</v>
      </c>
      <c r="E7" t="s">
        <v>30</v>
      </c>
      <c r="F7">
        <v>50</v>
      </c>
      <c r="G7">
        <v>247899</v>
      </c>
      <c r="H7">
        <v>50000</v>
      </c>
      <c r="I7">
        <v>197899</v>
      </c>
      <c r="J7" t="s">
        <v>21</v>
      </c>
      <c r="K7">
        <v>46065</v>
      </c>
    </row>
    <row r="9" spans="1:13" x14ac:dyDescent="0.35">
      <c r="A9" t="s">
        <v>103</v>
      </c>
    </row>
    <row r="10" spans="1:13" x14ac:dyDescent="0.35">
      <c r="A10" t="s">
        <v>104</v>
      </c>
    </row>
    <row r="12" spans="1:13" x14ac:dyDescent="0.35">
      <c r="D12" t="s">
        <v>123</v>
      </c>
      <c r="E12" t="s">
        <v>124</v>
      </c>
    </row>
    <row r="13" spans="1:13" x14ac:dyDescent="0.35">
      <c r="A13" t="s">
        <v>106</v>
      </c>
      <c r="C13" t="s">
        <v>117</v>
      </c>
      <c r="D13" t="s">
        <v>120</v>
      </c>
      <c r="E13" t="s">
        <v>125</v>
      </c>
      <c r="F13" t="s">
        <v>121</v>
      </c>
      <c r="H13" t="s">
        <v>122</v>
      </c>
    </row>
    <row r="14" spans="1:13" x14ac:dyDescent="0.35">
      <c r="A14">
        <v>1</v>
      </c>
      <c r="B14" t="s">
        <v>107</v>
      </c>
      <c r="D14" t="s">
        <v>118</v>
      </c>
      <c r="E14" t="s">
        <v>126</v>
      </c>
      <c r="F14" s="7">
        <v>46304</v>
      </c>
    </row>
    <row r="15" spans="1:13" x14ac:dyDescent="0.35">
      <c r="A15">
        <v>1</v>
      </c>
      <c r="B15" t="s">
        <v>108</v>
      </c>
      <c r="D15" t="s">
        <v>118</v>
      </c>
    </row>
    <row r="16" spans="1:13" x14ac:dyDescent="0.35">
      <c r="A16">
        <v>1</v>
      </c>
      <c r="B16" t="s">
        <v>109</v>
      </c>
      <c r="D16" t="s">
        <v>119</v>
      </c>
    </row>
    <row r="17" spans="1:2" x14ac:dyDescent="0.35">
      <c r="A17">
        <v>1</v>
      </c>
      <c r="B17" t="s">
        <v>110</v>
      </c>
    </row>
    <row r="18" spans="1:2" x14ac:dyDescent="0.35">
      <c r="A18">
        <v>1</v>
      </c>
      <c r="B18" t="s">
        <v>111</v>
      </c>
    </row>
    <row r="19" spans="1:2" x14ac:dyDescent="0.35">
      <c r="A19">
        <v>1</v>
      </c>
      <c r="B19" t="s">
        <v>112</v>
      </c>
    </row>
    <row r="20" spans="1:2" x14ac:dyDescent="0.35">
      <c r="A20">
        <v>1</v>
      </c>
      <c r="B20" t="s">
        <v>113</v>
      </c>
    </row>
    <row r="21" spans="1:2" x14ac:dyDescent="0.35">
      <c r="A21">
        <v>1</v>
      </c>
      <c r="B21" t="s">
        <v>114</v>
      </c>
    </row>
    <row r="22" spans="1:2" x14ac:dyDescent="0.35">
      <c r="A22">
        <v>1</v>
      </c>
      <c r="B22" t="s">
        <v>115</v>
      </c>
    </row>
    <row r="23" spans="1:2" x14ac:dyDescent="0.35">
      <c r="A23">
        <v>1</v>
      </c>
      <c r="B23" t="s">
        <v>116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BF4A06-B22F-4651-A525-0303B60315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ANALISIS</vt:lpstr>
      <vt:lpstr>GESTION_PEDIDOS</vt:lpstr>
      <vt:lpstr>ref_SKU</vt:lpstr>
      <vt:lpstr>ref_Clientes</vt:lpstr>
      <vt:lpstr>VENTAS</vt:lpstr>
      <vt:lpstr>ref_Clientes!DatosExternos_1</vt:lpstr>
      <vt:lpstr>ref_SKU!DatosExternos_1</vt:lpstr>
      <vt:lpstr>VENTAS!DatosExternos_1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Jimenez Anguita</dc:creator>
  <cp:lastModifiedBy>Contacto Nuvaoxi</cp:lastModifiedBy>
  <dcterms:created xsi:type="dcterms:W3CDTF">2026-07-06T19:27:05Z</dcterms:created>
  <dcterms:modified xsi:type="dcterms:W3CDTF">2026-07-08T16:58:53Z</dcterms:modified>
</cp:coreProperties>
</file>