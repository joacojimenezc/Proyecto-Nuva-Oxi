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en\OneDrive\Escritorio\Proyecto-Nuva-Oxi\3 control inventario\"/>
    </mc:Choice>
  </mc:AlternateContent>
  <xr:revisionPtr revIDLastSave="0" documentId="8_{2994EBBF-3004-4E87-A379-C9DD9371AFFA}" xr6:coauthVersionLast="47" xr6:coauthVersionMax="47" xr10:uidLastSave="{00000000-0000-0000-0000-000000000000}"/>
  <bookViews>
    <workbookView xWindow="-110" yWindow="-110" windowWidth="19420" windowHeight="10300" xr2:uid="{4CF5B42B-12BF-4536-AAA6-F71540082B91}"/>
  </bookViews>
  <sheets>
    <sheet name="INVENTARIO_PDV" sheetId="6" r:id="rId1"/>
    <sheet name="MOVIMIENTOS" sheetId="7" r:id="rId2"/>
    <sheet name="STOCK_CANAL" sheetId="5" r:id="rId3"/>
    <sheet name="ref_SKU" sheetId="4" r:id="rId4"/>
    <sheet name="ref_PDV" sheetId="3" r:id="rId5"/>
    <sheet name="ventas_crm" sheetId="2" r:id="rId6"/>
  </sheets>
  <definedNames>
    <definedName name="DatosExternos_1" localSheetId="4">ref_PDV!$A$1:$D$24</definedName>
    <definedName name="DatosExternos_1" localSheetId="3">ref_SKU!$A$1:$C$7</definedName>
    <definedName name="DatosExternos_1" localSheetId="5">ventas_crm!$A$1:$C$7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6" l="1"/>
  <c r="G7" i="6"/>
  <c r="E7" i="6"/>
  <c r="D7" i="6"/>
  <c r="H6" i="6"/>
  <c r="G6" i="6"/>
  <c r="E6" i="6"/>
  <c r="D6" i="6"/>
  <c r="H5" i="6"/>
  <c r="G5" i="6"/>
  <c r="E5" i="6"/>
  <c r="D5" i="6"/>
  <c r="H4" i="6"/>
  <c r="G4" i="6"/>
  <c r="E4" i="6"/>
  <c r="D4" i="6"/>
  <c r="H3" i="6"/>
  <c r="G3" i="6"/>
  <c r="E3" i="6"/>
  <c r="D3" i="6"/>
  <c r="H2" i="6"/>
  <c r="G2" i="6"/>
  <c r="E2" i="6"/>
  <c r="D2" i="6"/>
  <c r="I7" i="5"/>
  <c r="G7" i="5"/>
  <c r="I6" i="5"/>
  <c r="G6" i="5"/>
  <c r="I5" i="5"/>
  <c r="G5" i="5"/>
  <c r="I4" i="5"/>
  <c r="G4" i="5"/>
  <c r="I3" i="5"/>
  <c r="G3" i="5"/>
  <c r="I2" i="5"/>
  <c r="G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11B778-8658-405D-A5C4-2DC30255EAFB}" keepAlive="1" name="Conexión" type="5" refreshedVersion="8" saveData="1">
    <dbPr connection="Provider=Microsoft.Mashup.OleDb.1;Data Source=$Workbook$;Location=qSellIn;Extended Properties=&quot;&quot;" command="SELECT * FROM [qSellIn]"/>
  </connection>
  <connection id="2" xr16:uid="{E042139B-31C7-499A-9B94-9BDBD1760B03}" keepAlive="1" name="Conexión1" type="5" refreshedVersion="8" saveData="1">
    <dbPr connection="Provider=Microsoft.Mashup.OleDb.1;Data Source=$Workbook$;Location=qPDV;Extended Properties=&quot;&quot;" command="SELECT * FROM [qPDV]"/>
  </connection>
  <connection id="3" xr16:uid="{A4337E46-5A14-4A77-8285-431F71795C7E}" keepAlive="1" name="Conexión2" type="5" refreshedVersion="8" saveData="1">
    <dbPr connection="Provider=Microsoft.Mashup.OleDb.1;Data Source=$Workbook$;Location=qSKU;Extended Properties=&quot;&quot;" command="SELECT * FROM [qSKU]"/>
  </connection>
</connections>
</file>

<file path=xl/sharedStrings.xml><?xml version="1.0" encoding="utf-8"?>
<sst xmlns="http://schemas.openxmlformats.org/spreadsheetml/2006/main" count="189" uniqueCount="93">
  <si>
    <t>ID_PDV</t>
  </si>
  <si>
    <t>SKU</t>
  </si>
  <si>
    <t>Uds</t>
  </si>
  <si>
    <t>D001</t>
  </si>
  <si>
    <t>SKU-CAC-U</t>
  </si>
  <si>
    <t>D002</t>
  </si>
  <si>
    <t>SKU-MAN-U</t>
  </si>
  <si>
    <t>AN01</t>
  </si>
  <si>
    <t>SKU-FRU-U</t>
  </si>
  <si>
    <t>P001</t>
  </si>
  <si>
    <t>SKU-CAC-4</t>
  </si>
  <si>
    <t>H001</t>
  </si>
  <si>
    <t>SKU-MAN-4</t>
  </si>
  <si>
    <t>J001</t>
  </si>
  <si>
    <t>SKU-FRU-4</t>
  </si>
  <si>
    <t>Nombre_PDV</t>
  </si>
  <si>
    <t>Resp</t>
  </si>
  <si>
    <t>Estado</t>
  </si>
  <si>
    <t>Jumbo Parque Arauco</t>
  </si>
  <si>
    <t>Jose Ignacio</t>
  </si>
  <si>
    <t>Activo</t>
  </si>
  <si>
    <t>J002</t>
  </si>
  <si>
    <t>Jumbo Alto Las Condes</t>
  </si>
  <si>
    <t>J003</t>
  </si>
  <si>
    <t>Jumbo Kennedy</t>
  </si>
  <si>
    <t>J004</t>
  </si>
  <si>
    <t>Jumbo Bilbao</t>
  </si>
  <si>
    <t>J005</t>
  </si>
  <si>
    <t>Jumbo Los Dominicos</t>
  </si>
  <si>
    <t>J006</t>
  </si>
  <si>
    <t>Jumbo Portal La Reina</t>
  </si>
  <si>
    <t>J007</t>
  </si>
  <si>
    <t>Jumbo La Florida</t>
  </si>
  <si>
    <t>J008</t>
  </si>
  <si>
    <t>Jumbo Maipu</t>
  </si>
  <si>
    <t>J009</t>
  </si>
  <si>
    <t>Jumbo Vespucio</t>
  </si>
  <si>
    <t>J010</t>
  </si>
  <si>
    <t>Jumbo Costanera Center</t>
  </si>
  <si>
    <t>J011</t>
  </si>
  <si>
    <t>Jumbo Nunoa</t>
  </si>
  <si>
    <t>J012</t>
  </si>
  <si>
    <t>Jumbo Estoril</t>
  </si>
  <si>
    <t>J013</t>
  </si>
  <si>
    <t>Jumbo Puente Alto</t>
  </si>
  <si>
    <t>J014</t>
  </si>
  <si>
    <t>Jumbo San Bernardo</t>
  </si>
  <si>
    <t>Ana Barra</t>
  </si>
  <si>
    <t>J015</t>
  </si>
  <si>
    <t>Jumbo Providencia</t>
  </si>
  <si>
    <t>Prospecto</t>
  </si>
  <si>
    <t>Dellanatura Las Condes</t>
  </si>
  <si>
    <t>Dellanatura Providencia</t>
  </si>
  <si>
    <t>All Nutrition Vitacura</t>
  </si>
  <si>
    <t>CO01</t>
  </si>
  <si>
    <t>Central Organica</t>
  </si>
  <si>
    <t>F001</t>
  </si>
  <si>
    <t>Fork Costanera</t>
  </si>
  <si>
    <t>F002</t>
  </si>
  <si>
    <t>Fork Las Condes</t>
  </si>
  <si>
    <t>Pirque Centro del Vino</t>
  </si>
  <si>
    <t>Ritz-Carlton Santiago</t>
  </si>
  <si>
    <t>Descripcion</t>
  </si>
  <si>
    <t>Formato</t>
  </si>
  <si>
    <t>Barra Cacao 40g</t>
  </si>
  <si>
    <t>Unitaria</t>
  </si>
  <si>
    <t>Barra Mani 40g</t>
  </si>
  <si>
    <t>Barra Frutal 40g</t>
  </si>
  <si>
    <t>Estuche Cacao x4</t>
  </si>
  <si>
    <t>Estuche x4</t>
  </si>
  <si>
    <t>Estuche Mani x4</t>
  </si>
  <si>
    <t>Estuche Frutal x4</t>
  </si>
  <si>
    <t>Stock_Total</t>
  </si>
  <si>
    <t>Asignado_Jumbo</t>
  </si>
  <si>
    <t>Asignado_Ruta</t>
  </si>
  <si>
    <t>Stock_Seguridad</t>
  </si>
  <si>
    <t>Comprometido</t>
  </si>
  <si>
    <t>Disponible</t>
  </si>
  <si>
    <t>Punto_Repos</t>
  </si>
  <si>
    <t>Alerta</t>
  </si>
  <si>
    <t>Stock_Inicial</t>
  </si>
  <si>
    <t>Vendido</t>
  </si>
  <si>
    <t>Vel_Venta_sem</t>
  </si>
  <si>
    <t>Semanas_Rest</t>
  </si>
  <si>
    <t>Fecha</t>
  </si>
  <si>
    <t>Tipo</t>
  </si>
  <si>
    <t>Motivo</t>
  </si>
  <si>
    <t>Entrada</t>
  </si>
  <si>
    <t>Stock inicial Jumbo</t>
  </si>
  <si>
    <t>Salida</t>
  </si>
  <si>
    <t>Despacho OC-88231</t>
  </si>
  <si>
    <t>Ajuste</t>
  </si>
  <si>
    <t>Merma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</si>
</sst>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2C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numFmt numFmtId="164" formatCode="dd\/mm\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C2C5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3" xr16:uid="{D935C485-5C8F-4A11-8777-A08A620E3D1F}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SKU"/>
      <queryTableField id="2" name="Descripcion"/>
      <queryTableField id="3" name="Formato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2" xr16:uid="{1FFA11E9-AFFC-443C-A000-836AC714AF38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ID_PDV"/>
      <queryTableField id="2" name="Nombre_PDV"/>
      <queryTableField id="3" name="Resp"/>
      <queryTableField id="4" name="Estado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" xr16:uid="{D3F723F3-C91C-49BF-A30B-AEB743F14734}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ID_PDV"/>
      <queryTableField id="2" name="SKU"/>
      <queryTableField id="3" name="Uds"/>
    </queryTableFields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D7B3CE-14AF-43C2-B98B-A46039C43F05}" name="tblInvPDV" displayName="tblInvPDV" ref="A1:H7" totalsRowShown="0" headerRowDxfId="2">
  <autoFilter ref="A1:H7" xr:uid="{78D7B3CE-14AF-43C2-B98B-A46039C43F05}"/>
  <tableColumns count="8">
    <tableColumn id="1" xr3:uid="{860BE792-CF54-4150-B74C-87A2D52C7BB2}" name="ID_PDV"/>
    <tableColumn id="2" xr3:uid="{59C3903E-9E47-4ABB-8E0A-E3E3F599E322}" name="SKU"/>
    <tableColumn id="3" xr3:uid="{4B9880AE-215F-4BD9-9993-7927B2EE2FD1}" name="Stock_Inicial"/>
    <tableColumn id="4" xr3:uid="{DB0598AB-4246-4C3E-AF08-056D4C13D1FA}" name="Vendido">
      <calculatedColumnFormula>SUMIFS(ventas_crm!C:C,ventas_crm!A:A,A2,ventas_crm!B:B,B2)</calculatedColumnFormula>
    </tableColumn>
    <tableColumn id="5" xr3:uid="{E8185504-BDB6-4DA2-8B53-29989EAFB7AE}" name="Disponible">
      <calculatedColumnFormula>C2-D2</calculatedColumnFormula>
    </tableColumn>
    <tableColumn id="6" xr3:uid="{9258E5AF-1652-4EF6-A0AD-29FC36B06580}" name="Vel_Venta_sem"/>
    <tableColumn id="7" xr3:uid="{5A24A240-4858-459C-8CD0-EDD777C3F52B}" name="Semanas_Rest">
      <calculatedColumnFormula>IFERROR(E2/F2,0)</calculatedColumnFormula>
    </tableColumn>
    <tableColumn id="8" xr3:uid="{9BFE8254-E7C7-4B67-AA3E-D777F89EAFC3}" name="Alerta">
      <calculatedColumnFormula>IF(G2&lt;2,"REPONER",IF(E2&lt;=0,"QUIEBRE","OK"))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838ED1-07D7-4A2F-898F-8A3E0CDF4FDC}" name="tblMovimientos" displayName="tblMovimientos" ref="A1:G4" totalsRowShown="0" headerRowDxfId="0">
  <autoFilter ref="A1:G4" xr:uid="{4F838ED1-07D7-4A2F-898F-8A3E0CDF4FDC}"/>
  <tableColumns count="7">
    <tableColumn id="1" xr3:uid="{A5F7ACAD-E466-4C9D-927B-F40E550E9D51}" name="Fecha" dataDxfId="1"/>
    <tableColumn id="2" xr3:uid="{90A50AE5-650A-458F-AA54-5391F3E0EB2B}" name="Tipo"/>
    <tableColumn id="3" xr3:uid="{A6D8E162-7FC6-4660-9C7C-E377F08F7C3F}" name="ID_PDV"/>
    <tableColumn id="4" xr3:uid="{AD3CDEB7-FFB5-4C64-9FC8-2159E192E6F7}" name="SKU"/>
    <tableColumn id="5" xr3:uid="{FD36C98C-004A-49C7-ABE7-BF0C5AF05A0A}" name="Uds"/>
    <tableColumn id="6" xr3:uid="{1613FDF2-5AB1-4BD8-B757-EBE1571FE67E}" name="Motivo"/>
    <tableColumn id="7" xr3:uid="{B37BB318-E5D0-4F85-B284-527A7B87353F}" name="Res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C0BCC2-153D-4E10-BED6-D918B20DC8F2}" name="tblStockCanal" displayName="tblStockCanal" ref="A1:I7" totalsRowShown="0" headerRowDxfId="3">
  <autoFilter ref="A1:I7" xr:uid="{B1C0BCC2-153D-4E10-BED6-D918B20DC8F2}"/>
  <tableColumns count="9">
    <tableColumn id="1" xr3:uid="{52AF778B-724E-41B0-974D-0934D3ED7FA0}" name="SKU"/>
    <tableColumn id="2" xr3:uid="{7561C125-A140-49E4-A811-CA0878D17D09}" name="Stock_Total"/>
    <tableColumn id="3" xr3:uid="{51F105C3-BFA6-4221-8A18-A12D0FC093A5}" name="Asignado_Jumbo"/>
    <tableColumn id="4" xr3:uid="{636650C4-DC71-4E0D-9D58-09552738B76E}" name="Asignado_Ruta"/>
    <tableColumn id="5" xr3:uid="{644873EC-DA7A-46AE-B91C-1A1D3D90CA07}" name="Stock_Seguridad"/>
    <tableColumn id="6" xr3:uid="{59442E43-F1C0-466C-AE29-5C104C90FF5A}" name="Comprometido"/>
    <tableColumn id="7" xr3:uid="{DF93303D-B8F2-45AE-8501-9E6058E3DE27}" name="Disponible">
      <calculatedColumnFormula>B2-C2-D2-E2-F2</calculatedColumnFormula>
    </tableColumn>
    <tableColumn id="8" xr3:uid="{9B5DCCF3-0A3C-4692-8307-94C0CCA50DC4}" name="Punto_Repos"/>
    <tableColumn id="9" xr3:uid="{0C2AE91B-6EE1-4704-B37A-17627745B484}" name="Alerta">
      <calculatedColumnFormula>IF(G2&lt;=0,"QUIEBRE",IF(G2&lt;=H2,"BAJO","OK"))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0DEC-8635-4883-9B4C-F8F122B0A0EF}">
  <dimension ref="A1:H7"/>
  <sheetViews>
    <sheetView tabSelected="1" workbookViewId="0"/>
  </sheetViews>
  <sheetFormatPr baseColWidth="10" defaultRowHeight="14.5" x14ac:dyDescent="0.35"/>
  <cols>
    <col min="1" max="1" width="8.90625" customWidth="1"/>
    <col min="2" max="2" width="10.453125" bestFit="1" customWidth="1"/>
    <col min="3" max="3" width="13.6328125" customWidth="1"/>
    <col min="4" max="4" width="9.7265625" customWidth="1"/>
    <col min="5" max="5" width="11.90625" customWidth="1"/>
    <col min="6" max="6" width="15.453125" customWidth="1"/>
    <col min="7" max="7" width="15.08984375" customWidth="1"/>
    <col min="8" max="8" width="8.7265625" bestFit="1" customWidth="1"/>
  </cols>
  <sheetData>
    <row r="1" spans="1:8" x14ac:dyDescent="0.35">
      <c r="A1" s="2" t="s">
        <v>0</v>
      </c>
      <c r="B1" s="2" t="s">
        <v>1</v>
      </c>
      <c r="C1" s="2" t="s">
        <v>80</v>
      </c>
      <c r="D1" s="2" t="s">
        <v>81</v>
      </c>
      <c r="E1" s="2" t="s">
        <v>77</v>
      </c>
      <c r="F1" s="2" t="s">
        <v>82</v>
      </c>
      <c r="G1" s="2" t="s">
        <v>83</v>
      </c>
      <c r="H1" s="2" t="s">
        <v>79</v>
      </c>
    </row>
    <row r="2" spans="1:8" x14ac:dyDescent="0.35">
      <c r="A2" t="s">
        <v>3</v>
      </c>
      <c r="B2" t="s">
        <v>4</v>
      </c>
      <c r="C2">
        <v>12</v>
      </c>
      <c r="D2">
        <f>SUMIFS(ventas_crm!C:C,ventas_crm!A:A,A2,ventas_crm!B:B,B2)</f>
        <v>12</v>
      </c>
      <c r="E2">
        <f>C2-D2</f>
        <v>0</v>
      </c>
      <c r="F2">
        <v>3</v>
      </c>
      <c r="G2">
        <f>IFERROR(E2/F2,0)</f>
        <v>0</v>
      </c>
      <c r="H2" t="str">
        <f>IF(G2&lt;2,"REPONER",IF(E2&lt;=0,"QUIEBRE","OK"))</f>
        <v>REPONER</v>
      </c>
    </row>
    <row r="3" spans="1:8" x14ac:dyDescent="0.35">
      <c r="A3" t="s">
        <v>5</v>
      </c>
      <c r="B3" t="s">
        <v>6</v>
      </c>
      <c r="C3">
        <v>8</v>
      </c>
      <c r="D3">
        <f>SUMIFS(ventas_crm!C:C,ventas_crm!A:A,A3,ventas_crm!B:B,B3)</f>
        <v>8</v>
      </c>
      <c r="E3">
        <f>C3-D3</f>
        <v>0</v>
      </c>
      <c r="F3">
        <v>3</v>
      </c>
      <c r="G3">
        <f>IFERROR(E3/F3,0)</f>
        <v>0</v>
      </c>
      <c r="H3" t="str">
        <f>IF(G3&lt;2,"REPONER",IF(E3&lt;=0,"QUIEBRE","OK"))</f>
        <v>REPONER</v>
      </c>
    </row>
    <row r="4" spans="1:8" x14ac:dyDescent="0.35">
      <c r="A4" t="s">
        <v>7</v>
      </c>
      <c r="B4" t="s">
        <v>8</v>
      </c>
      <c r="C4">
        <v>9</v>
      </c>
      <c r="D4">
        <f>SUMIFS(ventas_crm!C:C,ventas_crm!A:A,A4,ventas_crm!B:B,B4)</f>
        <v>9</v>
      </c>
      <c r="E4">
        <f>C4-D4</f>
        <v>0</v>
      </c>
      <c r="F4">
        <v>2</v>
      </c>
      <c r="G4">
        <f>IFERROR(E4/F4,0)</f>
        <v>0</v>
      </c>
      <c r="H4" t="str">
        <f>IF(G4&lt;2,"REPONER",IF(E4&lt;=0,"QUIEBRE","OK"))</f>
        <v>REPONER</v>
      </c>
    </row>
    <row r="5" spans="1:8" x14ac:dyDescent="0.35">
      <c r="A5" t="s">
        <v>9</v>
      </c>
      <c r="B5" t="s">
        <v>10</v>
      </c>
      <c r="C5">
        <v>5</v>
      </c>
      <c r="D5">
        <f>SUMIFS(ventas_crm!C:C,ventas_crm!A:A,A5,ventas_crm!B:B,B5)</f>
        <v>5</v>
      </c>
      <c r="E5">
        <f>C5-D5</f>
        <v>0</v>
      </c>
      <c r="F5">
        <v>2</v>
      </c>
      <c r="G5">
        <f>IFERROR(E5/F5,0)</f>
        <v>0</v>
      </c>
      <c r="H5" t="str">
        <f>IF(G5&lt;2,"REPONER",IF(E5&lt;=0,"QUIEBRE","OK"))</f>
        <v>REPONER</v>
      </c>
    </row>
    <row r="6" spans="1:8" x14ac:dyDescent="0.35">
      <c r="A6" t="s">
        <v>11</v>
      </c>
      <c r="B6" t="s">
        <v>12</v>
      </c>
      <c r="C6">
        <v>10</v>
      </c>
      <c r="D6">
        <f>SUMIFS(ventas_crm!C:C,ventas_crm!A:A,A6,ventas_crm!B:B,B6)</f>
        <v>8</v>
      </c>
      <c r="E6">
        <f>C6-D6</f>
        <v>2</v>
      </c>
      <c r="F6">
        <v>2</v>
      </c>
      <c r="G6">
        <f>IFERROR(E6/F6,0)</f>
        <v>1</v>
      </c>
      <c r="H6" t="str">
        <f>IF(G6&lt;2,"REPONER",IF(E6&lt;=0,"QUIEBRE","OK"))</f>
        <v>REPONER</v>
      </c>
    </row>
    <row r="7" spans="1:8" x14ac:dyDescent="0.35">
      <c r="A7" t="s">
        <v>13</v>
      </c>
      <c r="B7" t="s">
        <v>14</v>
      </c>
      <c r="C7">
        <v>60</v>
      </c>
      <c r="D7">
        <f>SUMIFS(ventas_crm!C:C,ventas_crm!A:A,A7,ventas_crm!B:B,B7)</f>
        <v>50</v>
      </c>
      <c r="E7">
        <f>C7-D7</f>
        <v>10</v>
      </c>
      <c r="F7">
        <v>5</v>
      </c>
      <c r="G7">
        <f>IFERROR(E7/F7,0)</f>
        <v>2</v>
      </c>
      <c r="H7" t="str">
        <f>IF(G7&lt;2,"REPONER",IF(E7&lt;=0,"QUIEBRE","OK"))</f>
        <v>OK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A59B-77AA-4C4F-9620-4DFCC98B78C3}">
  <dimension ref="A1:G4"/>
  <sheetViews>
    <sheetView workbookViewId="0"/>
  </sheetViews>
  <sheetFormatPr baseColWidth="10" defaultRowHeight="14.5" x14ac:dyDescent="0.35"/>
  <cols>
    <col min="1" max="1" width="10.08984375" bestFit="1" customWidth="1"/>
    <col min="2" max="2" width="7.08984375" bestFit="1" customWidth="1"/>
    <col min="3" max="3" width="8.90625" customWidth="1"/>
    <col min="4" max="4" width="10.26953125" bestFit="1" customWidth="1"/>
    <col min="5" max="5" width="6.08984375" customWidth="1"/>
    <col min="6" max="6" width="17.7265625" bestFit="1" customWidth="1"/>
    <col min="7" max="7" width="10.54296875" bestFit="1" customWidth="1"/>
  </cols>
  <sheetData>
    <row r="1" spans="1:7" x14ac:dyDescent="0.35">
      <c r="A1" s="2" t="s">
        <v>84</v>
      </c>
      <c r="B1" s="2" t="s">
        <v>85</v>
      </c>
      <c r="C1" s="2" t="s">
        <v>0</v>
      </c>
      <c r="D1" s="2" t="s">
        <v>1</v>
      </c>
      <c r="E1" s="2" t="s">
        <v>2</v>
      </c>
      <c r="F1" s="2" t="s">
        <v>86</v>
      </c>
      <c r="G1" s="2" t="s">
        <v>16</v>
      </c>
    </row>
    <row r="2" spans="1:7" x14ac:dyDescent="0.35">
      <c r="A2" s="3">
        <v>46235</v>
      </c>
      <c r="B2" t="s">
        <v>87</v>
      </c>
      <c r="C2" t="s">
        <v>13</v>
      </c>
      <c r="D2" t="s">
        <v>14</v>
      </c>
      <c r="E2">
        <v>60</v>
      </c>
      <c r="F2" t="s">
        <v>88</v>
      </c>
      <c r="G2" t="s">
        <v>19</v>
      </c>
    </row>
    <row r="3" spans="1:7" x14ac:dyDescent="0.35">
      <c r="A3" s="3">
        <v>46239</v>
      </c>
      <c r="B3" t="s">
        <v>89</v>
      </c>
      <c r="C3" t="s">
        <v>13</v>
      </c>
      <c r="D3" t="s">
        <v>14</v>
      </c>
      <c r="E3">
        <v>50</v>
      </c>
      <c r="F3" t="s">
        <v>90</v>
      </c>
      <c r="G3" t="s">
        <v>19</v>
      </c>
    </row>
    <row r="4" spans="1:7" x14ac:dyDescent="0.35">
      <c r="A4" s="3">
        <v>46244</v>
      </c>
      <c r="B4" t="s">
        <v>91</v>
      </c>
      <c r="C4" t="s">
        <v>3</v>
      </c>
      <c r="D4" t="s">
        <v>4</v>
      </c>
      <c r="E4">
        <v>-1</v>
      </c>
      <c r="F4" t="s">
        <v>92</v>
      </c>
      <c r="G4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AB63-B8FF-4BEA-90AA-47553878F1F7}">
  <dimension ref="A1:I7"/>
  <sheetViews>
    <sheetView workbookViewId="0"/>
  </sheetViews>
  <sheetFormatPr baseColWidth="10" defaultRowHeight="14.5" x14ac:dyDescent="0.35"/>
  <cols>
    <col min="1" max="1" width="10.453125" bestFit="1" customWidth="1"/>
    <col min="2" max="2" width="12.453125" customWidth="1"/>
    <col min="3" max="3" width="16.7265625" customWidth="1"/>
    <col min="4" max="4" width="15.1796875" customWidth="1"/>
    <col min="5" max="5" width="16.81640625" customWidth="1"/>
    <col min="6" max="6" width="15.36328125" customWidth="1"/>
    <col min="7" max="7" width="11.90625" customWidth="1"/>
    <col min="8" max="8" width="13.7265625" customWidth="1"/>
    <col min="9" max="9" width="8.08984375" bestFit="1" customWidth="1"/>
  </cols>
  <sheetData>
    <row r="1" spans="1:9" x14ac:dyDescent="0.35">
      <c r="A1" s="2" t="s">
        <v>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</row>
    <row r="2" spans="1:9" x14ac:dyDescent="0.35">
      <c r="A2" t="s">
        <v>4</v>
      </c>
      <c r="B2">
        <v>200</v>
      </c>
      <c r="C2">
        <v>120</v>
      </c>
      <c r="D2">
        <v>60</v>
      </c>
      <c r="E2">
        <v>20</v>
      </c>
      <c r="F2">
        <v>0</v>
      </c>
      <c r="G2">
        <f>B2-C2-D2-E2-F2</f>
        <v>0</v>
      </c>
      <c r="H2">
        <v>30</v>
      </c>
      <c r="I2" t="str">
        <f>IF(G2&lt;=0,"QUIEBRE",IF(G2&lt;=H2,"BAJO","OK"))</f>
        <v>QUIEBRE</v>
      </c>
    </row>
    <row r="3" spans="1:9" x14ac:dyDescent="0.35">
      <c r="A3" t="s">
        <v>6</v>
      </c>
      <c r="B3">
        <v>200</v>
      </c>
      <c r="C3">
        <v>120</v>
      </c>
      <c r="D3">
        <v>60</v>
      </c>
      <c r="E3">
        <v>20</v>
      </c>
      <c r="F3">
        <v>0</v>
      </c>
      <c r="G3">
        <f>B3-C3-D3-E3-F3</f>
        <v>0</v>
      </c>
      <c r="H3">
        <v>30</v>
      </c>
      <c r="I3" t="str">
        <f>IF(G3&lt;=0,"QUIEBRE",IF(G3&lt;=H3,"BAJO","OK"))</f>
        <v>QUIEBRE</v>
      </c>
    </row>
    <row r="4" spans="1:9" x14ac:dyDescent="0.35">
      <c r="A4" t="s">
        <v>8</v>
      </c>
      <c r="B4">
        <v>200</v>
      </c>
      <c r="C4">
        <v>120</v>
      </c>
      <c r="D4">
        <v>60</v>
      </c>
      <c r="E4">
        <v>20</v>
      </c>
      <c r="F4">
        <v>0</v>
      </c>
      <c r="G4">
        <f>B4-C4-D4-E4-F4</f>
        <v>0</v>
      </c>
      <c r="H4">
        <v>30</v>
      </c>
      <c r="I4" t="str">
        <f>IF(G4&lt;=0,"QUIEBRE",IF(G4&lt;=H4,"BAJO","OK"))</f>
        <v>QUIEBRE</v>
      </c>
    </row>
    <row r="5" spans="1:9" x14ac:dyDescent="0.35">
      <c r="A5" t="s">
        <v>10</v>
      </c>
      <c r="B5">
        <v>200</v>
      </c>
      <c r="C5">
        <v>120</v>
      </c>
      <c r="D5">
        <v>60</v>
      </c>
      <c r="E5">
        <v>20</v>
      </c>
      <c r="F5">
        <v>0</v>
      </c>
      <c r="G5">
        <f>B5-C5-D5-E5-F5</f>
        <v>0</v>
      </c>
      <c r="H5">
        <v>30</v>
      </c>
      <c r="I5" t="str">
        <f>IF(G5&lt;=0,"QUIEBRE",IF(G5&lt;=H5,"BAJO","OK"))</f>
        <v>QUIEBRE</v>
      </c>
    </row>
    <row r="6" spans="1:9" x14ac:dyDescent="0.35">
      <c r="A6" t="s">
        <v>12</v>
      </c>
      <c r="B6">
        <v>200</v>
      </c>
      <c r="C6">
        <v>120</v>
      </c>
      <c r="D6">
        <v>60</v>
      </c>
      <c r="E6">
        <v>20</v>
      </c>
      <c r="F6">
        <v>0</v>
      </c>
      <c r="G6">
        <f>B6-C6-D6-E6-F6</f>
        <v>0</v>
      </c>
      <c r="H6">
        <v>30</v>
      </c>
      <c r="I6" t="str">
        <f>IF(G6&lt;=0,"QUIEBRE",IF(G6&lt;=H6,"BAJO","OK"))</f>
        <v>QUIEBRE</v>
      </c>
    </row>
    <row r="7" spans="1:9" x14ac:dyDescent="0.35">
      <c r="A7" t="s">
        <v>14</v>
      </c>
      <c r="B7">
        <v>200</v>
      </c>
      <c r="C7">
        <v>120</v>
      </c>
      <c r="D7">
        <v>60</v>
      </c>
      <c r="E7">
        <v>20</v>
      </c>
      <c r="F7">
        <v>0</v>
      </c>
      <c r="G7">
        <f>B7-C7-D7-E7-F7</f>
        <v>0</v>
      </c>
      <c r="H7">
        <v>30</v>
      </c>
      <c r="I7" t="str">
        <f>IF(G7&lt;=0,"QUIEBRE",IF(G7&lt;=H7,"BAJO","OK"))</f>
        <v>QUIEBRE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DFE3-CBBC-4A7A-A137-0743AA8E1675}">
  <dimension ref="A1:C7"/>
  <sheetViews>
    <sheetView workbookViewId="0"/>
  </sheetViews>
  <sheetFormatPr baseColWidth="10" defaultRowHeight="14.5" x14ac:dyDescent="0.35"/>
  <cols>
    <col min="1" max="1" width="10.453125" bestFit="1" customWidth="1"/>
    <col min="2" max="2" width="15.1796875" bestFit="1" customWidth="1"/>
    <col min="3" max="3" width="9.54296875" bestFit="1" customWidth="1"/>
  </cols>
  <sheetData>
    <row r="1" spans="1:3" x14ac:dyDescent="0.35">
      <c r="A1" s="1" t="s">
        <v>1</v>
      </c>
      <c r="B1" s="1" t="s">
        <v>62</v>
      </c>
      <c r="C1" s="1" t="s">
        <v>63</v>
      </c>
    </row>
    <row r="2" spans="1:3" x14ac:dyDescent="0.35">
      <c r="A2" t="s">
        <v>4</v>
      </c>
      <c r="B2" t="s">
        <v>64</v>
      </c>
      <c r="C2" t="s">
        <v>65</v>
      </c>
    </row>
    <row r="3" spans="1:3" x14ac:dyDescent="0.35">
      <c r="A3" t="s">
        <v>6</v>
      </c>
      <c r="B3" t="s">
        <v>66</v>
      </c>
      <c r="C3" t="s">
        <v>65</v>
      </c>
    </row>
    <row r="4" spans="1:3" x14ac:dyDescent="0.35">
      <c r="A4" t="s">
        <v>8</v>
      </c>
      <c r="B4" t="s">
        <v>67</v>
      </c>
      <c r="C4" t="s">
        <v>65</v>
      </c>
    </row>
    <row r="5" spans="1:3" x14ac:dyDescent="0.35">
      <c r="A5" t="s">
        <v>10</v>
      </c>
      <c r="B5" t="s">
        <v>68</v>
      </c>
      <c r="C5" t="s">
        <v>69</v>
      </c>
    </row>
    <row r="6" spans="1:3" x14ac:dyDescent="0.35">
      <c r="A6" t="s">
        <v>12</v>
      </c>
      <c r="B6" t="s">
        <v>70</v>
      </c>
      <c r="C6" t="s">
        <v>69</v>
      </c>
    </row>
    <row r="7" spans="1:3" x14ac:dyDescent="0.35">
      <c r="A7" t="s">
        <v>14</v>
      </c>
      <c r="B7" t="s">
        <v>71</v>
      </c>
      <c r="C7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24F0-9B3B-43EE-BBCB-B4A1997F5735}">
  <dimension ref="A1:D24"/>
  <sheetViews>
    <sheetView workbookViewId="0"/>
  </sheetViews>
  <sheetFormatPr baseColWidth="10" defaultRowHeight="14.5" x14ac:dyDescent="0.35"/>
  <cols>
    <col min="1" max="1" width="6.90625" bestFit="1" customWidth="1"/>
    <col min="2" max="2" width="20.81640625" bestFit="1" customWidth="1"/>
    <col min="3" max="3" width="10.54296875" bestFit="1" customWidth="1"/>
    <col min="4" max="4" width="9.08984375" bestFit="1" customWidth="1"/>
  </cols>
  <sheetData>
    <row r="1" spans="1:4" x14ac:dyDescent="0.35">
      <c r="A1" s="1" t="s">
        <v>0</v>
      </c>
      <c r="B1" s="1" t="s">
        <v>15</v>
      </c>
      <c r="C1" s="1" t="s">
        <v>16</v>
      </c>
      <c r="D1" s="1" t="s">
        <v>17</v>
      </c>
    </row>
    <row r="2" spans="1:4" x14ac:dyDescent="0.35">
      <c r="A2" t="s">
        <v>13</v>
      </c>
      <c r="B2" t="s">
        <v>18</v>
      </c>
      <c r="C2" t="s">
        <v>19</v>
      </c>
      <c r="D2" t="s">
        <v>20</v>
      </c>
    </row>
    <row r="3" spans="1:4" x14ac:dyDescent="0.35">
      <c r="A3" t="s">
        <v>21</v>
      </c>
      <c r="B3" t="s">
        <v>22</v>
      </c>
      <c r="C3" t="s">
        <v>19</v>
      </c>
      <c r="D3" t="s">
        <v>20</v>
      </c>
    </row>
    <row r="4" spans="1:4" x14ac:dyDescent="0.35">
      <c r="A4" t="s">
        <v>23</v>
      </c>
      <c r="B4" t="s">
        <v>24</v>
      </c>
      <c r="C4" t="s">
        <v>19</v>
      </c>
      <c r="D4" t="s">
        <v>20</v>
      </c>
    </row>
    <row r="5" spans="1:4" x14ac:dyDescent="0.35">
      <c r="A5" t="s">
        <v>25</v>
      </c>
      <c r="B5" t="s">
        <v>26</v>
      </c>
      <c r="C5" t="s">
        <v>19</v>
      </c>
      <c r="D5" t="s">
        <v>20</v>
      </c>
    </row>
    <row r="6" spans="1:4" x14ac:dyDescent="0.35">
      <c r="A6" t="s">
        <v>27</v>
      </c>
      <c r="B6" t="s">
        <v>28</v>
      </c>
      <c r="C6" t="s">
        <v>19</v>
      </c>
      <c r="D6" t="s">
        <v>20</v>
      </c>
    </row>
    <row r="7" spans="1:4" x14ac:dyDescent="0.35">
      <c r="A7" t="s">
        <v>29</v>
      </c>
      <c r="B7" t="s">
        <v>30</v>
      </c>
      <c r="C7" t="s">
        <v>19</v>
      </c>
      <c r="D7" t="s">
        <v>20</v>
      </c>
    </row>
    <row r="8" spans="1:4" x14ac:dyDescent="0.35">
      <c r="A8" t="s">
        <v>31</v>
      </c>
      <c r="B8" t="s">
        <v>32</v>
      </c>
      <c r="C8" t="s">
        <v>19</v>
      </c>
      <c r="D8" t="s">
        <v>20</v>
      </c>
    </row>
    <row r="9" spans="1:4" x14ac:dyDescent="0.35">
      <c r="A9" t="s">
        <v>33</v>
      </c>
      <c r="B9" t="s">
        <v>34</v>
      </c>
      <c r="C9" t="s">
        <v>19</v>
      </c>
      <c r="D9" t="s">
        <v>20</v>
      </c>
    </row>
    <row r="10" spans="1:4" x14ac:dyDescent="0.35">
      <c r="A10" t="s">
        <v>35</v>
      </c>
      <c r="B10" t="s">
        <v>36</v>
      </c>
      <c r="C10" t="s">
        <v>19</v>
      </c>
      <c r="D10" t="s">
        <v>20</v>
      </c>
    </row>
    <row r="11" spans="1:4" x14ac:dyDescent="0.35">
      <c r="A11" t="s">
        <v>37</v>
      </c>
      <c r="B11" t="s">
        <v>38</v>
      </c>
      <c r="C11" t="s">
        <v>19</v>
      </c>
      <c r="D11" t="s">
        <v>20</v>
      </c>
    </row>
    <row r="12" spans="1:4" x14ac:dyDescent="0.35">
      <c r="A12" t="s">
        <v>39</v>
      </c>
      <c r="B12" t="s">
        <v>40</v>
      </c>
      <c r="C12" t="s">
        <v>19</v>
      </c>
      <c r="D12" t="s">
        <v>20</v>
      </c>
    </row>
    <row r="13" spans="1:4" x14ac:dyDescent="0.35">
      <c r="A13" t="s">
        <v>41</v>
      </c>
      <c r="B13" t="s">
        <v>42</v>
      </c>
      <c r="C13" t="s">
        <v>19</v>
      </c>
      <c r="D13" t="s">
        <v>20</v>
      </c>
    </row>
    <row r="14" spans="1:4" x14ac:dyDescent="0.35">
      <c r="A14" t="s">
        <v>43</v>
      </c>
      <c r="B14" t="s">
        <v>44</v>
      </c>
      <c r="C14" t="s">
        <v>19</v>
      </c>
      <c r="D14" t="s">
        <v>20</v>
      </c>
    </row>
    <row r="15" spans="1:4" x14ac:dyDescent="0.35">
      <c r="A15" t="s">
        <v>45</v>
      </c>
      <c r="B15" t="s">
        <v>46</v>
      </c>
      <c r="C15" t="s">
        <v>47</v>
      </c>
      <c r="D15" t="s">
        <v>20</v>
      </c>
    </row>
    <row r="16" spans="1:4" x14ac:dyDescent="0.35">
      <c r="A16" t="s">
        <v>48</v>
      </c>
      <c r="B16" t="s">
        <v>49</v>
      </c>
      <c r="C16" t="s">
        <v>47</v>
      </c>
      <c r="D16" t="s">
        <v>50</v>
      </c>
    </row>
    <row r="17" spans="1:4" x14ac:dyDescent="0.35">
      <c r="A17" t="s">
        <v>3</v>
      </c>
      <c r="B17" t="s">
        <v>51</v>
      </c>
      <c r="C17" t="s">
        <v>47</v>
      </c>
      <c r="D17" t="s">
        <v>20</v>
      </c>
    </row>
    <row r="18" spans="1:4" x14ac:dyDescent="0.35">
      <c r="A18" t="s">
        <v>5</v>
      </c>
      <c r="B18" t="s">
        <v>52</v>
      </c>
      <c r="C18" t="s">
        <v>47</v>
      </c>
      <c r="D18" t="s">
        <v>20</v>
      </c>
    </row>
    <row r="19" spans="1:4" x14ac:dyDescent="0.35">
      <c r="A19" t="s">
        <v>7</v>
      </c>
      <c r="B19" t="s">
        <v>53</v>
      </c>
      <c r="C19" t="s">
        <v>19</v>
      </c>
      <c r="D19" t="s">
        <v>20</v>
      </c>
    </row>
    <row r="20" spans="1:4" x14ac:dyDescent="0.35">
      <c r="A20" t="s">
        <v>54</v>
      </c>
      <c r="B20" t="s">
        <v>55</v>
      </c>
      <c r="C20" t="s">
        <v>19</v>
      </c>
      <c r="D20" t="s">
        <v>20</v>
      </c>
    </row>
    <row r="21" spans="1:4" x14ac:dyDescent="0.35">
      <c r="A21" t="s">
        <v>56</v>
      </c>
      <c r="B21" t="s">
        <v>57</v>
      </c>
      <c r="C21" t="s">
        <v>19</v>
      </c>
      <c r="D21" t="s">
        <v>20</v>
      </c>
    </row>
    <row r="22" spans="1:4" x14ac:dyDescent="0.35">
      <c r="A22" t="s">
        <v>58</v>
      </c>
      <c r="B22" t="s">
        <v>59</v>
      </c>
      <c r="C22" t="s">
        <v>47</v>
      </c>
      <c r="D22" t="s">
        <v>20</v>
      </c>
    </row>
    <row r="23" spans="1:4" x14ac:dyDescent="0.35">
      <c r="A23" t="s">
        <v>9</v>
      </c>
      <c r="B23" t="s">
        <v>60</v>
      </c>
      <c r="C23" t="s">
        <v>19</v>
      </c>
      <c r="D23" t="s">
        <v>20</v>
      </c>
    </row>
    <row r="24" spans="1:4" x14ac:dyDescent="0.35">
      <c r="A24" t="s">
        <v>11</v>
      </c>
      <c r="B24" t="s">
        <v>61</v>
      </c>
      <c r="C24" t="s">
        <v>19</v>
      </c>
      <c r="D24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BEBE-13ED-4BB0-A7D7-BBEAA4D30C8F}">
  <dimension ref="A1:C7"/>
  <sheetViews>
    <sheetView workbookViewId="0"/>
  </sheetViews>
  <sheetFormatPr baseColWidth="10" defaultRowHeight="14.5" x14ac:dyDescent="0.35"/>
  <cols>
    <col min="1" max="1" width="6.90625" bestFit="1" customWidth="1"/>
    <col min="2" max="2" width="10.453125" bestFit="1" customWidth="1"/>
    <col min="3" max="3" width="4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12</v>
      </c>
    </row>
    <row r="3" spans="1:3" x14ac:dyDescent="0.35">
      <c r="A3" t="s">
        <v>5</v>
      </c>
      <c r="B3" t="s">
        <v>6</v>
      </c>
      <c r="C3">
        <v>8</v>
      </c>
    </row>
    <row r="4" spans="1:3" x14ac:dyDescent="0.35">
      <c r="A4" t="s">
        <v>7</v>
      </c>
      <c r="B4" t="s">
        <v>8</v>
      </c>
      <c r="C4">
        <v>9</v>
      </c>
    </row>
    <row r="5" spans="1:3" x14ac:dyDescent="0.35">
      <c r="A5" t="s">
        <v>9</v>
      </c>
      <c r="B5" t="s">
        <v>10</v>
      </c>
      <c r="C5">
        <v>5</v>
      </c>
    </row>
    <row r="6" spans="1:3" x14ac:dyDescent="0.35">
      <c r="A6" t="s">
        <v>11</v>
      </c>
      <c r="B6" t="s">
        <v>12</v>
      </c>
      <c r="C6">
        <v>8</v>
      </c>
    </row>
    <row r="7" spans="1:3" x14ac:dyDescent="0.35">
      <c r="A7" t="s">
        <v>13</v>
      </c>
      <c r="B7" t="s">
        <v>14</v>
      </c>
      <c r="C7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727136-B2DB-4EB8-87F7-9AA1903914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INVENTARIO_PDV</vt:lpstr>
      <vt:lpstr>MOVIMIENTOS</vt:lpstr>
      <vt:lpstr>STOCK_CANAL</vt:lpstr>
      <vt:lpstr>ref_SKU</vt:lpstr>
      <vt:lpstr>ref_PDV</vt:lpstr>
      <vt:lpstr>ventas_crm</vt:lpstr>
      <vt:lpstr>ref_PDV!DatosExternos_1</vt:lpstr>
      <vt:lpstr>ref_SKU!DatosExternos_1</vt:lpstr>
      <vt:lpstr>ventas_crm!DatosExternos_1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Jimenez Anguita</dc:creator>
  <cp:lastModifiedBy>Patricio Jimenez Anguita</cp:lastModifiedBy>
  <dcterms:created xsi:type="dcterms:W3CDTF">2026-07-06T19:27:37Z</dcterms:created>
  <dcterms:modified xsi:type="dcterms:W3CDTF">2026-07-06T19:27:39Z</dcterms:modified>
</cp:coreProperties>
</file>