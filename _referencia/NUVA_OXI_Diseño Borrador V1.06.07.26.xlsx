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conchaytoro365-my.sharepoint.com/personal/jose_vidal_conchaytoro_cl/Documents/Escritorio/NUVA/Comercial/Proyecto en desarrollo Diseño/"/>
    </mc:Choice>
  </mc:AlternateContent>
  <xr:revisionPtr revIDLastSave="0" documentId="8_{D6E4F4E8-555D-4794-848C-2A2156EE3E0C}" xr6:coauthVersionLast="47" xr6:coauthVersionMax="47" xr10:uidLastSave="{00000000-0000-0000-0000-000000000000}"/>
  <bookViews>
    <workbookView xWindow="28680" yWindow="2175" windowWidth="29040" windowHeight="15720" tabRatio="500" activeTab="6" xr2:uid="{00000000-000D-0000-FFFF-FFFF00000000}"/>
  </bookViews>
  <sheets>
    <sheet name="PANEL" sheetId="1" r:id="rId1"/>
    <sheet name="CONFIG" sheetId="2" r:id="rId2"/>
    <sheet name="VENTAS" sheetId="3" r:id="rId3"/>
    <sheet name="INVENTARIO" sheetId="4" r:id="rId4"/>
    <sheet name="GRÁFICO" sheetId="5" r:id="rId5"/>
    <sheet name="POP" sheetId="6" r:id="rId6"/>
    <sheet name="DASHBOARD" sheetId="7" r:id="rId7"/>
  </sheets>
  <definedNames>
    <definedName name="_xlnm._FilterDatabase" localSheetId="3" hidden="1">INVENTARIO!$A$3:$K$3</definedName>
    <definedName name="_xlnm._FilterDatabase" localSheetId="0" hidden="1">PANEL!$A$7:$X$30</definedName>
    <definedName name="_xlnm._FilterDatabase" localSheetId="5" hidden="1">POP!$A$15:$Q$15</definedName>
    <definedName name="_xlnm._FilterDatabase" localSheetId="2" hidden="1">VENTAS!$A$3:$P$3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4" i="1" l="1"/>
  <c r="O4" i="3"/>
  <c r="G21" i="7"/>
  <c r="I21" i="7" s="1"/>
  <c r="G4" i="4"/>
  <c r="H4" i="4" s="1"/>
  <c r="O8" i="3"/>
  <c r="O9" i="3"/>
  <c r="K9" i="3"/>
  <c r="J9" i="3"/>
  <c r="L9" i="3" s="1"/>
  <c r="E42" i="7"/>
  <c r="E41" i="7"/>
  <c r="C41" i="7"/>
  <c r="B41" i="7"/>
  <c r="E40" i="7"/>
  <c r="E39" i="7"/>
  <c r="C39" i="7"/>
  <c r="B39" i="7"/>
  <c r="F32" i="7"/>
  <c r="G32" i="7" s="1"/>
  <c r="F31" i="7"/>
  <c r="G31" i="7" s="1"/>
  <c r="F28" i="7"/>
  <c r="G28" i="7" s="1"/>
  <c r="F25" i="7"/>
  <c r="G25" i="7" s="1"/>
  <c r="F24" i="7"/>
  <c r="G24" i="7" s="1"/>
  <c r="F23" i="7"/>
  <c r="G23" i="7" s="1"/>
  <c r="F22" i="7"/>
  <c r="G22" i="7" s="1"/>
  <c r="F21" i="7"/>
  <c r="C15" i="7"/>
  <c r="D14" i="7"/>
  <c r="C14" i="7"/>
  <c r="D13" i="7"/>
  <c r="C13" i="7"/>
  <c r="D12" i="7"/>
  <c r="C12" i="7"/>
  <c r="D11" i="7"/>
  <c r="C11" i="7"/>
  <c r="M5" i="7"/>
  <c r="I5" i="7"/>
  <c r="E5" i="7"/>
  <c r="O23" i="6"/>
  <c r="M23" i="6"/>
  <c r="O22" i="6"/>
  <c r="M22" i="6"/>
  <c r="O21" i="6"/>
  <c r="M21" i="6"/>
  <c r="O20" i="6"/>
  <c r="M20" i="6"/>
  <c r="O19" i="6"/>
  <c r="M19" i="6"/>
  <c r="O18" i="6"/>
  <c r="M18" i="6"/>
  <c r="O17" i="6"/>
  <c r="M17" i="6"/>
  <c r="O16" i="6"/>
  <c r="O25" i="6" s="1"/>
  <c r="M16" i="6"/>
  <c r="C9" i="5"/>
  <c r="B9" i="5"/>
  <c r="C8" i="5"/>
  <c r="B8" i="5"/>
  <c r="C7" i="5"/>
  <c r="B7" i="5"/>
  <c r="C6" i="5"/>
  <c r="B6" i="5"/>
  <c r="C5" i="5"/>
  <c r="B5" i="5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K8" i="3"/>
  <c r="J8" i="3"/>
  <c r="O7" i="3"/>
  <c r="K7" i="3"/>
  <c r="J7" i="3"/>
  <c r="O6" i="3"/>
  <c r="K6" i="3"/>
  <c r="J6" i="3"/>
  <c r="O5" i="3"/>
  <c r="K5" i="3"/>
  <c r="J5" i="3"/>
  <c r="K4" i="3"/>
  <c r="J4" i="3"/>
  <c r="F18" i="2"/>
  <c r="F17" i="2"/>
  <c r="F16" i="2"/>
  <c r="F15" i="2"/>
  <c r="F14" i="2"/>
  <c r="F13" i="2"/>
  <c r="U30" i="1"/>
  <c r="V30" i="1" s="1"/>
  <c r="T30" i="1"/>
  <c r="U29" i="1"/>
  <c r="V29" i="1" s="1"/>
  <c r="T29" i="1"/>
  <c r="U28" i="1"/>
  <c r="V28" i="1" s="1"/>
  <c r="T28" i="1"/>
  <c r="U27" i="1"/>
  <c r="V27" i="1" s="1"/>
  <c r="T27" i="1"/>
  <c r="U26" i="1"/>
  <c r="V26" i="1" s="1"/>
  <c r="T26" i="1"/>
  <c r="U25" i="1"/>
  <c r="V25" i="1" s="1"/>
  <c r="T25" i="1"/>
  <c r="U24" i="1"/>
  <c r="V24" i="1" s="1"/>
  <c r="T24" i="1"/>
  <c r="U23" i="1"/>
  <c r="V23" i="1" s="1"/>
  <c r="T23" i="1"/>
  <c r="U22" i="1"/>
  <c r="V22" i="1" s="1"/>
  <c r="T22" i="1"/>
  <c r="U21" i="1"/>
  <c r="V21" i="1" s="1"/>
  <c r="T21" i="1"/>
  <c r="U20" i="1"/>
  <c r="V20" i="1" s="1"/>
  <c r="T20" i="1"/>
  <c r="U19" i="1"/>
  <c r="V19" i="1" s="1"/>
  <c r="T19" i="1"/>
  <c r="U18" i="1"/>
  <c r="V18" i="1" s="1"/>
  <c r="T18" i="1"/>
  <c r="U17" i="1"/>
  <c r="V17" i="1" s="1"/>
  <c r="T17" i="1"/>
  <c r="U16" i="1"/>
  <c r="V16" i="1" s="1"/>
  <c r="T16" i="1"/>
  <c r="U15" i="1"/>
  <c r="V15" i="1" s="1"/>
  <c r="T15" i="1"/>
  <c r="U14" i="1"/>
  <c r="V14" i="1" s="1"/>
  <c r="T14" i="1"/>
  <c r="U13" i="1"/>
  <c r="V13" i="1" s="1"/>
  <c r="T13" i="1"/>
  <c r="U12" i="1"/>
  <c r="V12" i="1" s="1"/>
  <c r="T12" i="1"/>
  <c r="U11" i="1"/>
  <c r="V11" i="1" s="1"/>
  <c r="T11" i="1"/>
  <c r="U10" i="1"/>
  <c r="V10" i="1" s="1"/>
  <c r="T10" i="1"/>
  <c r="U9" i="1"/>
  <c r="V9" i="1" s="1"/>
  <c r="T9" i="1"/>
  <c r="U8" i="1"/>
  <c r="T8" i="1"/>
  <c r="M4" i="1"/>
  <c r="G4" i="1"/>
  <c r="D9" i="5" l="1"/>
  <c r="E9" i="5" s="1"/>
  <c r="D8" i="5"/>
  <c r="D6" i="5"/>
  <c r="D7" i="5"/>
  <c r="D5" i="5"/>
  <c r="T31" i="1"/>
  <c r="E8" i="5"/>
  <c r="E7" i="5"/>
  <c r="E6" i="5"/>
  <c r="E5" i="5"/>
  <c r="E12" i="7"/>
  <c r="E14" i="7"/>
  <c r="E13" i="7"/>
  <c r="E11" i="7"/>
  <c r="F41" i="7"/>
  <c r="D41" i="7"/>
  <c r="F39" i="7"/>
  <c r="D39" i="7"/>
  <c r="I32" i="7"/>
  <c r="J32" i="7"/>
  <c r="H32" i="7"/>
  <c r="H31" i="7"/>
  <c r="I31" i="7"/>
  <c r="J31" i="7"/>
  <c r="H28" i="7"/>
  <c r="I28" i="7"/>
  <c r="J28" i="7"/>
  <c r="H25" i="7"/>
  <c r="I25" i="7"/>
  <c r="J25" i="7"/>
  <c r="H24" i="7"/>
  <c r="I24" i="7"/>
  <c r="J24" i="7"/>
  <c r="H23" i="7"/>
  <c r="I23" i="7"/>
  <c r="J23" i="7"/>
  <c r="H22" i="7"/>
  <c r="I22" i="7"/>
  <c r="J22" i="7"/>
  <c r="H21" i="7"/>
  <c r="J21" i="7"/>
  <c r="H26" i="4"/>
  <c r="J26" i="4"/>
  <c r="H25" i="4"/>
  <c r="J25" i="4"/>
  <c r="H24" i="4"/>
  <c r="J24" i="4"/>
  <c r="J23" i="4"/>
  <c r="H23" i="4"/>
  <c r="H22" i="4"/>
  <c r="J22" i="4"/>
  <c r="H21" i="4"/>
  <c r="J21" i="4"/>
  <c r="J20" i="4"/>
  <c r="H20" i="4"/>
  <c r="H19" i="4"/>
  <c r="J19" i="4"/>
  <c r="J18" i="4"/>
  <c r="H18" i="4"/>
  <c r="K18" i="4" s="1"/>
  <c r="X22" i="1" s="1"/>
  <c r="J17" i="4"/>
  <c r="H17" i="4"/>
  <c r="K17" i="4" s="1"/>
  <c r="X21" i="1" s="1"/>
  <c r="H16" i="4"/>
  <c r="K16" i="4" s="1"/>
  <c r="X20" i="1" s="1"/>
  <c r="J16" i="4"/>
  <c r="H15" i="4"/>
  <c r="K15" i="4" s="1"/>
  <c r="X19" i="1" s="1"/>
  <c r="J15" i="4"/>
  <c r="J14" i="4"/>
  <c r="H14" i="4"/>
  <c r="K14" i="4" s="1"/>
  <c r="X18" i="1" s="1"/>
  <c r="H13" i="4"/>
  <c r="K13" i="4" s="1"/>
  <c r="X17" i="1" s="1"/>
  <c r="J13" i="4"/>
  <c r="J12" i="4"/>
  <c r="H12" i="4"/>
  <c r="K12" i="4" s="1"/>
  <c r="X16" i="1" s="1"/>
  <c r="H11" i="4"/>
  <c r="K11" i="4" s="1"/>
  <c r="X15" i="1" s="1"/>
  <c r="J11" i="4"/>
  <c r="J10" i="4"/>
  <c r="H10" i="4"/>
  <c r="K10" i="4" s="1"/>
  <c r="X14" i="1" s="1"/>
  <c r="H9" i="4"/>
  <c r="K9" i="4" s="1"/>
  <c r="X13" i="1" s="1"/>
  <c r="J9" i="4"/>
  <c r="H8" i="4"/>
  <c r="J8" i="4"/>
  <c r="J7" i="4"/>
  <c r="H7" i="4"/>
  <c r="J6" i="4"/>
  <c r="H6" i="4"/>
  <c r="J5" i="4"/>
  <c r="H5" i="4"/>
  <c r="J4" i="4"/>
  <c r="L8" i="3"/>
  <c r="C42" i="7"/>
  <c r="B42" i="7"/>
  <c r="F33" i="7"/>
  <c r="G33" i="7" s="1"/>
  <c r="L7" i="3"/>
  <c r="F30" i="7"/>
  <c r="G30" i="7" s="1"/>
  <c r="L6" i="3"/>
  <c r="F29" i="7"/>
  <c r="G29" i="7" s="1"/>
  <c r="L5" i="3"/>
  <c r="F27" i="7"/>
  <c r="G27" i="7" s="1"/>
  <c r="B40" i="7"/>
  <c r="L4" i="3"/>
  <c r="F26" i="7"/>
  <c r="G26" i="7" s="1"/>
  <c r="C40" i="7"/>
  <c r="V8" i="1"/>
  <c r="U31" i="1"/>
  <c r="K26" i="4" l="1"/>
  <c r="X30" i="1" s="1"/>
  <c r="E33" i="7"/>
  <c r="K25" i="4"/>
  <c r="X29" i="1" s="1"/>
  <c r="E30" i="7"/>
  <c r="K24" i="4"/>
  <c r="X28" i="1" s="1"/>
  <c r="E32" i="7"/>
  <c r="E31" i="7"/>
  <c r="K23" i="4"/>
  <c r="X27" i="1" s="1"/>
  <c r="K22" i="4"/>
  <c r="X26" i="1" s="1"/>
  <c r="E29" i="7"/>
  <c r="K21" i="4"/>
  <c r="X25" i="1" s="1"/>
  <c r="E28" i="7"/>
  <c r="K20" i="4"/>
  <c r="X24" i="1" s="1"/>
  <c r="E27" i="7"/>
  <c r="K19" i="4"/>
  <c r="X23" i="1" s="1"/>
  <c r="E26" i="7"/>
  <c r="K8" i="4"/>
  <c r="X12" i="1" s="1"/>
  <c r="E25" i="7"/>
  <c r="K7" i="4"/>
  <c r="X11" i="1" s="1"/>
  <c r="E24" i="7"/>
  <c r="K6" i="4"/>
  <c r="X10" i="1" s="1"/>
  <c r="E23" i="7"/>
  <c r="K5" i="4"/>
  <c r="X9" i="1" s="1"/>
  <c r="E22" i="7"/>
  <c r="K4" i="4"/>
  <c r="E21" i="7"/>
  <c r="D42" i="7"/>
  <c r="F42" i="7"/>
  <c r="H33" i="7"/>
  <c r="I33" i="7"/>
  <c r="J33" i="7"/>
  <c r="H30" i="7"/>
  <c r="J30" i="7"/>
  <c r="I30" i="7"/>
  <c r="H29" i="7"/>
  <c r="I29" i="7"/>
  <c r="J29" i="7"/>
  <c r="H27" i="7"/>
  <c r="I27" i="7"/>
  <c r="J27" i="7"/>
  <c r="H26" i="7"/>
  <c r="I26" i="7"/>
  <c r="J26" i="7"/>
  <c r="D40" i="7"/>
  <c r="F40" i="7"/>
  <c r="Q5" i="7" l="1"/>
  <c r="P4" i="1"/>
  <c r="X8" i="1"/>
  <c r="L10" i="3" l="1"/>
  <c r="K10" i="3"/>
  <c r="A5" i="7"/>
  <c r="J10" i="3"/>
  <c r="D4" i="1"/>
  <c r="A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V8" authorId="0" shapeId="0" xr:uid="{00000000-0006-0000-0000-000001000000}">
      <text>
        <r>
          <rPr>
            <sz val="10"/>
            <rFont val="Arial"/>
            <family val="2"/>
          </rPr>
          <t>🔴 META NO CUMPLIDA (&lt;60%)
Acción:
1. Revisar si PDV está activo ese mes
2. Evaluar acción push: promotora, degustación
3. Verificar que producto está en góndola correcta
4. Consultar sell-out si disponible (Jumbo: EDI)</t>
        </r>
      </text>
    </comment>
    <comment ref="W8" authorId="0" shapeId="0" xr:uid="{00000000-0006-0000-0000-000018000000}">
      <text>
        <r>
          <rPr>
            <sz val="10"/>
            <rFont val="Arial"/>
            <family val="2"/>
          </rPr>
          <t>📅 ÚLTIMA VISITA
Ingresar fecha de la última visita física al PDV.
Si está vacío, el KPI 'Sin visita' se activa automáticamente.
Frecuencia recomendada:
• Jumbo: semanal
• Especializados: quincenal
• HoReCa/Turístico: mensual</t>
        </r>
      </text>
    </comment>
    <comment ref="X8" authorId="0" shapeId="0" xr:uid="{00000000-0006-0000-0000-00002F000000}">
      <text>
        <r>
          <rPr>
            <sz val="10"/>
            <rFont val="Arial"/>
            <family val="2"/>
          </rPr>
          <t>🔴 SIN STOCK
Acción inmediata:
1. Contactar responsable PDV hoy
2. Generar OC de reposición
3. Priorizar si es Jumbo (riesgo pérdida espacio góndola)
4. Actualizar stock_inicial cuando llegue la reposición</t>
        </r>
      </text>
    </comment>
    <comment ref="V9" authorId="0" shapeId="0" xr:uid="{00000000-0006-0000-0000-000002000000}">
      <text>
        <r>
          <rPr>
            <sz val="10"/>
            <rFont val="Arial"/>
            <family val="2"/>
          </rPr>
          <t>🔴 META NO CUMPLIDA (&lt;60%)
Acción:
1. Revisar si PDV está activo ese mes
2. Evaluar acción push: promotora, degustación
3. Verificar que producto está en góndola correcta
4. Consultar sell-out si disponible (Jumbo: EDI)</t>
        </r>
      </text>
    </comment>
    <comment ref="W9" authorId="0" shapeId="0" xr:uid="{00000000-0006-0000-0000-000019000000}">
      <text>
        <r>
          <rPr>
            <sz val="10"/>
            <rFont val="Arial"/>
            <family val="2"/>
          </rPr>
          <t>📅 ÚLTIMA VISITA
Ingresar fecha de la última visita física al PDV.
Si está vacío, el KPI 'Sin visita' se activa automáticamente.
Frecuencia recomendada:
• Jumbo: semanal
• Especializados: quincenal
• HoReCa/Turístico: mensual</t>
        </r>
      </text>
    </comment>
    <comment ref="X9" authorId="0" shapeId="0" xr:uid="{00000000-0006-0000-0000-000030000000}">
      <text>
        <r>
          <rPr>
            <sz val="10"/>
            <rFont val="Arial"/>
            <family val="2"/>
          </rPr>
          <t>🔴 SIN STOCK
Acción inmediata:
1. Contactar responsable PDV hoy
2. Generar OC de reposición
3. Priorizar si es Jumbo (riesgo pérdida espacio góndola)
4. Actualizar stock_inicial cuando llegue la reposición</t>
        </r>
      </text>
    </comment>
    <comment ref="V10" authorId="0" shapeId="0" xr:uid="{00000000-0006-0000-0000-000003000000}">
      <text>
        <r>
          <rPr>
            <sz val="10"/>
            <rFont val="Arial"/>
            <family val="2"/>
          </rPr>
          <t>🔴 META NO CUMPLIDA (&lt;60%)
Acción:
1. Revisar si PDV está activo ese mes
2. Evaluar acción push: promotora, degustación
3. Verificar que producto está en góndola correcta
4. Consultar sell-out si disponible (Jumbo: EDI)</t>
        </r>
      </text>
    </comment>
    <comment ref="W10" authorId="0" shapeId="0" xr:uid="{00000000-0006-0000-0000-00001A000000}">
      <text>
        <r>
          <rPr>
            <sz val="10"/>
            <rFont val="Arial"/>
            <family val="2"/>
          </rPr>
          <t>📅 ÚLTIMA VISITA
Ingresar fecha de la última visita física al PDV.
Si está vacío, el KPI 'Sin visita' se activa automáticamente.
Frecuencia recomendada:
• Jumbo: semanal
• Especializados: quincenal
• HoReCa/Turístico: mensual</t>
        </r>
      </text>
    </comment>
    <comment ref="X10" authorId="0" shapeId="0" xr:uid="{00000000-0006-0000-0000-000031000000}">
      <text>
        <r>
          <rPr>
            <sz val="10"/>
            <rFont val="Arial"/>
            <family val="2"/>
          </rPr>
          <t>🔴 SIN STOCK
Acción inmediata:
1. Contactar responsable PDV hoy
2. Generar OC de reposición
3. Priorizar si es Jumbo (riesgo pérdida espacio góndola)
4. Actualizar stock_inicial cuando llegue la reposición</t>
        </r>
      </text>
    </comment>
    <comment ref="V11" authorId="0" shapeId="0" xr:uid="{00000000-0006-0000-0000-000004000000}">
      <text>
        <r>
          <rPr>
            <sz val="10"/>
            <rFont val="Arial"/>
            <family val="2"/>
          </rPr>
          <t>🔴 META NO CUMPLIDA (&lt;60%)
Acción:
1. Revisar si PDV está activo ese mes
2. Evaluar acción push: promotora, degustación
3. Verificar que producto está en góndola correcta
4. Consultar sell-out si disponible (Jumbo: EDI)</t>
        </r>
      </text>
    </comment>
    <comment ref="W11" authorId="0" shapeId="0" xr:uid="{00000000-0006-0000-0000-00001B000000}">
      <text>
        <r>
          <rPr>
            <sz val="10"/>
            <rFont val="Arial"/>
            <family val="2"/>
          </rPr>
          <t>📅 ÚLTIMA VISITA
Ingresar fecha de la última visita física al PDV.
Si está vacío, el KPI 'Sin visita' se activa automáticamente.
Frecuencia recomendada:
• Jumbo: semanal
• Especializados: quincenal
• HoReCa/Turístico: mensual</t>
        </r>
      </text>
    </comment>
    <comment ref="X11" authorId="0" shapeId="0" xr:uid="{00000000-0006-0000-0000-000032000000}">
      <text>
        <r>
          <rPr>
            <sz val="10"/>
            <rFont val="Arial"/>
            <family val="2"/>
          </rPr>
          <t>🔴 SIN STOCK
Acción inmediata:
1. Contactar responsable PDV hoy
2. Generar OC de reposición
3. Priorizar si es Jumbo (riesgo pérdida espacio góndola)
4. Actualizar stock_inicial cuando llegue la reposición</t>
        </r>
      </text>
    </comment>
    <comment ref="V12" authorId="0" shapeId="0" xr:uid="{00000000-0006-0000-0000-000005000000}">
      <text>
        <r>
          <rPr>
            <sz val="10"/>
            <rFont val="Arial"/>
            <family val="2"/>
          </rPr>
          <t>🔴 META NO CUMPLIDA (&lt;60%)
Acción:
1. Revisar si PDV está activo ese mes
2. Evaluar acción push: promotora, degustación
3. Verificar que producto está en góndola correcta
4. Consultar sell-out si disponible (Jumbo: EDI)</t>
        </r>
      </text>
    </comment>
    <comment ref="W12" authorId="0" shapeId="0" xr:uid="{00000000-0006-0000-0000-00001C000000}">
      <text>
        <r>
          <rPr>
            <sz val="10"/>
            <rFont val="Arial"/>
            <family val="2"/>
          </rPr>
          <t>📅 ÚLTIMA VISITA
Ingresar fecha de la última visita física al PDV.
Si está vacío, el KPI 'Sin visita' se activa automáticamente.
Frecuencia recomendada:
• Jumbo: semanal
• Especializados: quincenal
• HoReCa/Turístico: mensual</t>
        </r>
      </text>
    </comment>
    <comment ref="X12" authorId="0" shapeId="0" xr:uid="{00000000-0006-0000-0000-000033000000}">
      <text>
        <r>
          <rPr>
            <sz val="10"/>
            <rFont val="Arial"/>
            <family val="2"/>
          </rPr>
          <t>🔴 SIN STOCK
Acción inmediata:
1. Contactar responsable PDV hoy
2. Generar OC de reposición
3. Priorizar si es Jumbo (riesgo pérdida espacio góndola)
4. Actualizar stock_inicial cuando llegue la reposición</t>
        </r>
      </text>
    </comment>
    <comment ref="V13" authorId="0" shapeId="0" xr:uid="{00000000-0006-0000-0000-000006000000}">
      <text>
        <r>
          <rPr>
            <sz val="10"/>
            <rFont val="Arial"/>
            <family val="2"/>
          </rPr>
          <t>🔴 META NO CUMPLIDA (&lt;60%)
Acción:
1. Revisar si PDV está activo ese mes
2. Evaluar acción push: promotora, degustación
3. Verificar que producto está en góndola correcta
4. Consultar sell-out si disponible (Jumbo: EDI)</t>
        </r>
      </text>
    </comment>
    <comment ref="W13" authorId="0" shapeId="0" xr:uid="{00000000-0006-0000-0000-00001D000000}">
      <text>
        <r>
          <rPr>
            <sz val="10"/>
            <rFont val="Arial"/>
            <family val="2"/>
          </rPr>
          <t>📅 ÚLTIMA VISITA
Ingresar fecha de la última visita física al PDV.
Si está vacío, el KPI 'Sin visita' se activa automáticamente.
Frecuencia recomendada:
• Jumbo: semanal
• Especializados: quincenal
• HoReCa/Turístico: mensual</t>
        </r>
      </text>
    </comment>
    <comment ref="X13" authorId="0" shapeId="0" xr:uid="{00000000-0006-0000-0000-000034000000}">
      <text>
        <r>
          <rPr>
            <sz val="10"/>
            <rFont val="Arial"/>
            <family val="2"/>
          </rPr>
          <t>🔴 SIN STOCK
Acción inmediata:
1. Contactar responsable PDV hoy
2. Generar OC de reposición
3. Priorizar si es Jumbo (riesgo pérdida espacio góndola)
4. Actualizar stock_inicial cuando llegue la reposición</t>
        </r>
      </text>
    </comment>
    <comment ref="V14" authorId="0" shapeId="0" xr:uid="{00000000-0006-0000-0000-000007000000}">
      <text>
        <r>
          <rPr>
            <sz val="10"/>
            <rFont val="Arial"/>
            <family val="2"/>
          </rPr>
          <t>🔴 META NO CUMPLIDA (&lt;60%)
Acción:
1. Revisar si PDV está activo ese mes
2. Evaluar acción push: promotora, degustación
3. Verificar que producto está en góndola correcta
4. Consultar sell-out si disponible (Jumbo: EDI)</t>
        </r>
      </text>
    </comment>
    <comment ref="W14" authorId="0" shapeId="0" xr:uid="{00000000-0006-0000-0000-00001E000000}">
      <text>
        <r>
          <rPr>
            <sz val="10"/>
            <rFont val="Arial"/>
            <family val="2"/>
          </rPr>
          <t>📅 ÚLTIMA VISITA
Ingresar fecha de la última visita física al PDV.
Si está vacío, el KPI 'Sin visita' se activa automáticamente.
Frecuencia recomendada:
• Jumbo: semanal
• Especializados: quincenal
• HoReCa/Turístico: mensual</t>
        </r>
      </text>
    </comment>
    <comment ref="X14" authorId="0" shapeId="0" xr:uid="{00000000-0006-0000-0000-000035000000}">
      <text>
        <r>
          <rPr>
            <sz val="10"/>
            <rFont val="Arial"/>
            <family val="2"/>
          </rPr>
          <t>🔴 SIN STOCK
Acción inmediata:
1. Contactar responsable PDV hoy
2. Generar OC de reposición
3. Priorizar si es Jumbo (riesgo pérdida espacio góndola)
4. Actualizar stock_inicial cuando llegue la reposición</t>
        </r>
      </text>
    </comment>
    <comment ref="V15" authorId="0" shapeId="0" xr:uid="{00000000-0006-0000-0000-000008000000}">
      <text>
        <r>
          <rPr>
            <sz val="10"/>
            <rFont val="Arial"/>
            <family val="2"/>
          </rPr>
          <t>🔴 META NO CUMPLIDA (&lt;60%)
Acción:
1. Revisar si PDV está activo ese mes
2. Evaluar acción push: promotora, degustación
3. Verificar que producto está en góndola correcta
4. Consultar sell-out si disponible (Jumbo: EDI)</t>
        </r>
      </text>
    </comment>
    <comment ref="W15" authorId="0" shapeId="0" xr:uid="{00000000-0006-0000-0000-00001F000000}">
      <text>
        <r>
          <rPr>
            <sz val="10"/>
            <rFont val="Arial"/>
            <family val="2"/>
          </rPr>
          <t>📅 ÚLTIMA VISITA
Ingresar fecha de la última visita física al PDV.
Si está vacío, el KPI 'Sin visita' se activa automáticamente.
Frecuencia recomendada:
• Jumbo: semanal
• Especializados: quincenal
• HoReCa/Turístico: mensual</t>
        </r>
      </text>
    </comment>
    <comment ref="X15" authorId="0" shapeId="0" xr:uid="{00000000-0006-0000-0000-000036000000}">
      <text>
        <r>
          <rPr>
            <sz val="10"/>
            <rFont val="Arial"/>
            <family val="2"/>
          </rPr>
          <t>🔴 SIN STOCK
Acción inmediata:
1. Contactar responsable PDV hoy
2. Generar OC de reposición
3. Priorizar si es Jumbo (riesgo pérdida espacio góndola)
4. Actualizar stock_inicial cuando llegue la reposición</t>
        </r>
      </text>
    </comment>
    <comment ref="V16" authorId="0" shapeId="0" xr:uid="{00000000-0006-0000-0000-000009000000}">
      <text>
        <r>
          <rPr>
            <sz val="10"/>
            <rFont val="Arial"/>
            <family val="2"/>
          </rPr>
          <t>🔴 META NO CUMPLIDA (&lt;60%)
Acción:
1. Revisar si PDV está activo ese mes
2. Evaluar acción push: promotora, degustación
3. Verificar que producto está en góndola correcta
4. Consultar sell-out si disponible (Jumbo: EDI)</t>
        </r>
      </text>
    </comment>
    <comment ref="W16" authorId="0" shapeId="0" xr:uid="{00000000-0006-0000-0000-000020000000}">
      <text>
        <r>
          <rPr>
            <sz val="10"/>
            <rFont val="Arial"/>
            <family val="2"/>
          </rPr>
          <t>📅 ÚLTIMA VISITA
Ingresar fecha de la última visita física al PDV.
Si está vacío, el KPI 'Sin visita' se activa automáticamente.
Frecuencia recomendada:
• Jumbo: semanal
• Especializados: quincenal
• HoReCa/Turístico: mensual</t>
        </r>
      </text>
    </comment>
    <comment ref="X16" authorId="0" shapeId="0" xr:uid="{00000000-0006-0000-0000-000037000000}">
      <text>
        <r>
          <rPr>
            <sz val="10"/>
            <rFont val="Arial"/>
            <family val="2"/>
          </rPr>
          <t>🔴 SIN STOCK
Acción inmediata:
1. Contactar responsable PDV hoy
2. Generar OC de reposición
3. Priorizar si es Jumbo (riesgo pérdida espacio góndola)
4. Actualizar stock_inicial cuando llegue la reposición</t>
        </r>
      </text>
    </comment>
    <comment ref="V17" authorId="0" shapeId="0" xr:uid="{00000000-0006-0000-0000-00000A000000}">
      <text>
        <r>
          <rPr>
            <sz val="10"/>
            <rFont val="Arial"/>
            <family val="2"/>
          </rPr>
          <t>🔴 META NO CUMPLIDA (&lt;60%)
Acción:
1. Revisar si PDV está activo ese mes
2. Evaluar acción push: promotora, degustación
3. Verificar que producto está en góndola correcta
4. Consultar sell-out si disponible (Jumbo: EDI)</t>
        </r>
      </text>
    </comment>
    <comment ref="W17" authorId="0" shapeId="0" xr:uid="{00000000-0006-0000-0000-000021000000}">
      <text>
        <r>
          <rPr>
            <sz val="10"/>
            <rFont val="Arial"/>
            <family val="2"/>
          </rPr>
          <t>📅 ÚLTIMA VISITA
Ingresar fecha de la última visita física al PDV.
Si está vacío, el KPI 'Sin visita' se activa automáticamente.
Frecuencia recomendada:
• Jumbo: semanal
• Especializados: quincenal
• HoReCa/Turístico: mensual</t>
        </r>
      </text>
    </comment>
    <comment ref="X17" authorId="0" shapeId="0" xr:uid="{00000000-0006-0000-0000-000038000000}">
      <text>
        <r>
          <rPr>
            <sz val="10"/>
            <rFont val="Arial"/>
            <family val="2"/>
          </rPr>
          <t>🔴 SIN STOCK
Acción inmediata:
1. Contactar responsable PDV hoy
2. Generar OC de reposición
3. Priorizar si es Jumbo (riesgo pérdida espacio góndola)
4. Actualizar stock_inicial cuando llegue la reposición</t>
        </r>
      </text>
    </comment>
    <comment ref="V18" authorId="0" shapeId="0" xr:uid="{00000000-0006-0000-0000-00000B000000}">
      <text>
        <r>
          <rPr>
            <sz val="10"/>
            <rFont val="Arial"/>
            <family val="2"/>
          </rPr>
          <t>🔴 META NO CUMPLIDA (&lt;60%)
Acción:
1. Revisar si PDV está activo ese mes
2. Evaluar acción push: promotora, degustación
3. Verificar que producto está en góndola correcta
4. Consultar sell-out si disponible (Jumbo: EDI)</t>
        </r>
      </text>
    </comment>
    <comment ref="W18" authorId="0" shapeId="0" xr:uid="{00000000-0006-0000-0000-000022000000}">
      <text>
        <r>
          <rPr>
            <sz val="10"/>
            <rFont val="Arial"/>
            <family val="2"/>
          </rPr>
          <t>📅 ÚLTIMA VISITA
Ingresar fecha de la última visita física al PDV.
Si está vacío, el KPI 'Sin visita' se activa automáticamente.
Frecuencia recomendada:
• Jumbo: semanal
• Especializados: quincenal
• HoReCa/Turístico: mensual</t>
        </r>
      </text>
    </comment>
    <comment ref="X18" authorId="0" shapeId="0" xr:uid="{00000000-0006-0000-0000-000039000000}">
      <text>
        <r>
          <rPr>
            <sz val="10"/>
            <rFont val="Arial"/>
            <family val="2"/>
          </rPr>
          <t>🔴 SIN STOCK
Acción inmediata:
1. Contactar responsable PDV hoy
2. Generar OC de reposición
3. Priorizar si es Jumbo (riesgo pérdida espacio góndola)
4. Actualizar stock_inicial cuando llegue la reposición</t>
        </r>
      </text>
    </comment>
    <comment ref="V19" authorId="0" shapeId="0" xr:uid="{00000000-0006-0000-0000-00000C000000}">
      <text>
        <r>
          <rPr>
            <sz val="10"/>
            <rFont val="Arial"/>
            <family val="2"/>
          </rPr>
          <t>🔴 META NO CUMPLIDA (&lt;60%)
Acción:
1. Revisar si PDV está activo ese mes
2. Evaluar acción push: promotora, degustación
3. Verificar que producto está en góndola correcta
4. Consultar sell-out si disponible (Jumbo: EDI)</t>
        </r>
      </text>
    </comment>
    <comment ref="W19" authorId="0" shapeId="0" xr:uid="{00000000-0006-0000-0000-000023000000}">
      <text>
        <r>
          <rPr>
            <sz val="10"/>
            <rFont val="Arial"/>
            <family val="2"/>
          </rPr>
          <t>📅 ÚLTIMA VISITA
Ingresar fecha de la última visita física al PDV.
Si está vacío, el KPI 'Sin visita' se activa automáticamente.
Frecuencia recomendada:
• Jumbo: semanal
• Especializados: quincenal
• HoReCa/Turístico: mensual</t>
        </r>
      </text>
    </comment>
    <comment ref="X19" authorId="0" shapeId="0" xr:uid="{00000000-0006-0000-0000-00003A000000}">
      <text>
        <r>
          <rPr>
            <sz val="10"/>
            <rFont val="Arial"/>
            <family val="2"/>
          </rPr>
          <t>🔴 SIN STOCK
Acción inmediata:
1. Contactar responsable PDV hoy
2. Generar OC de reposición
3. Priorizar si es Jumbo (riesgo pérdida espacio góndola)
4. Actualizar stock_inicial cuando llegue la reposición</t>
        </r>
      </text>
    </comment>
    <comment ref="V20" authorId="0" shapeId="0" xr:uid="{00000000-0006-0000-0000-00000D000000}">
      <text>
        <r>
          <rPr>
            <sz val="10"/>
            <rFont val="Arial"/>
            <family val="2"/>
          </rPr>
          <t>🔴 META NO CUMPLIDA (&lt;60%)
Acción:
1. Revisar si PDV está activo ese mes
2. Evaluar acción push: promotora, degustación
3. Verificar que producto está en góndola correcta
4. Consultar sell-out si disponible (Jumbo: EDI)</t>
        </r>
      </text>
    </comment>
    <comment ref="W20" authorId="0" shapeId="0" xr:uid="{00000000-0006-0000-0000-000024000000}">
      <text>
        <r>
          <rPr>
            <sz val="10"/>
            <rFont val="Arial"/>
            <family val="2"/>
          </rPr>
          <t>📅 ÚLTIMA VISITA
Ingresar fecha de la última visita física al PDV.
Si está vacío, el KPI 'Sin visita' se activa automáticamente.
Frecuencia recomendada:
• Jumbo: semanal
• Especializados: quincenal
• HoReCa/Turístico: mensual</t>
        </r>
      </text>
    </comment>
    <comment ref="X20" authorId="0" shapeId="0" xr:uid="{00000000-0006-0000-0000-00003B000000}">
      <text>
        <r>
          <rPr>
            <sz val="10"/>
            <rFont val="Arial"/>
            <family val="2"/>
          </rPr>
          <t>🔴 SIN STOCK
Acción inmediata:
1. Contactar responsable PDV hoy
2. Generar OC de reposición
3. Priorizar si es Jumbo (riesgo pérdida espacio góndola)
4. Actualizar stock_inicial cuando llegue la reposición</t>
        </r>
      </text>
    </comment>
    <comment ref="V21" authorId="0" shapeId="0" xr:uid="{00000000-0006-0000-0000-00000E000000}">
      <text>
        <r>
          <rPr>
            <sz val="10"/>
            <rFont val="Arial"/>
            <family val="2"/>
          </rPr>
          <t>🔴 META NO CUMPLIDA (&lt;60%)
Acción:
1. Revisar si PDV está activo ese mes
2. Evaluar acción push: promotora, degustación
3. Verificar que producto está en góndola correcta
4. Consultar sell-out si disponible (Jumbo: EDI)</t>
        </r>
      </text>
    </comment>
    <comment ref="W21" authorId="0" shapeId="0" xr:uid="{00000000-0006-0000-0000-000025000000}">
      <text>
        <r>
          <rPr>
            <sz val="10"/>
            <rFont val="Arial"/>
            <family val="2"/>
          </rPr>
          <t>📅 ÚLTIMA VISITA
Ingresar fecha de la última visita física al PDV.
Si está vacío, el KPI 'Sin visita' se activa automáticamente.
Frecuencia recomendada:
• Jumbo: semanal
• Especializados: quincenal
• HoReCa/Turístico: mensual</t>
        </r>
      </text>
    </comment>
    <comment ref="X21" authorId="0" shapeId="0" xr:uid="{00000000-0006-0000-0000-00003C000000}">
      <text>
        <r>
          <rPr>
            <sz val="10"/>
            <rFont val="Arial"/>
            <family val="2"/>
          </rPr>
          <t>🔴 SIN STOCK
Acción inmediata:
1. Contactar responsable PDV hoy
2. Generar OC de reposición
3. Priorizar si es Jumbo (riesgo pérdida espacio góndola)
4. Actualizar stock_inicial cuando llegue la reposición</t>
        </r>
      </text>
    </comment>
    <comment ref="V22" authorId="0" shapeId="0" xr:uid="{00000000-0006-0000-0000-00000F000000}">
      <text>
        <r>
          <rPr>
            <sz val="10"/>
            <rFont val="Arial"/>
            <family val="2"/>
          </rPr>
          <t>🔴 META NO CUMPLIDA (&lt;60%)
Acción:
1. Revisar si PDV está activo ese mes
2. Evaluar acción push: promotora, degustación
3. Verificar que producto está en góndola correcta
4. Consultar sell-out si disponible (Jumbo: EDI)</t>
        </r>
      </text>
    </comment>
    <comment ref="W22" authorId="0" shapeId="0" xr:uid="{00000000-0006-0000-0000-000026000000}">
      <text>
        <r>
          <rPr>
            <sz val="10"/>
            <rFont val="Arial"/>
            <family val="2"/>
          </rPr>
          <t>📅 ÚLTIMA VISITA
Ingresar fecha de la última visita física al PDV.
Si está vacío, el KPI 'Sin visita' se activa automáticamente.
Frecuencia recomendada:
• Jumbo: semanal
• Especializados: quincenal
• HoReCa/Turístico: mensual</t>
        </r>
      </text>
    </comment>
    <comment ref="X22" authorId="0" shapeId="0" xr:uid="{00000000-0006-0000-0000-00003D000000}">
      <text>
        <r>
          <rPr>
            <sz val="10"/>
            <rFont val="Arial"/>
            <family val="2"/>
          </rPr>
          <t>🔴 SIN STOCK
Acción inmediata:
1. Contactar responsable PDV hoy
2. Generar OC de reposición
3. Priorizar si es Jumbo (riesgo pérdida espacio góndola)
4. Actualizar stock_inicial cuando llegue la reposición</t>
        </r>
      </text>
    </comment>
    <comment ref="V23" authorId="0" shapeId="0" xr:uid="{00000000-0006-0000-0000-000010000000}">
      <text>
        <r>
          <rPr>
            <sz val="10"/>
            <rFont val="Arial"/>
            <family val="2"/>
          </rPr>
          <t>🔴 META NO CUMPLIDA (&lt;60%)
Acción:
1. Revisar si PDV está activo ese mes
2. Evaluar acción push: promotora, degustación
3. Verificar que producto está en góndola correcta
4. Consultar sell-out si disponible (Jumbo: EDI)</t>
        </r>
      </text>
    </comment>
    <comment ref="W23" authorId="0" shapeId="0" xr:uid="{00000000-0006-0000-0000-000027000000}">
      <text>
        <r>
          <rPr>
            <sz val="10"/>
            <rFont val="Arial"/>
            <family val="2"/>
          </rPr>
          <t>📅 ÚLTIMA VISITA
Ingresar fecha de la última visita física al PDV.
Si está vacío, el KPI 'Sin visita' se activa automáticamente.
Frecuencia recomendada:
• Jumbo: semanal
• Especializados: quincenal
• HoReCa/Turístico: mensual</t>
        </r>
      </text>
    </comment>
    <comment ref="X23" authorId="0" shapeId="0" xr:uid="{00000000-0006-0000-0000-00003E000000}">
      <text>
        <r>
          <rPr>
            <sz val="10"/>
            <rFont val="Arial"/>
            <family val="2"/>
          </rPr>
          <t>🔴 SIN STOCK
Acción inmediata:
1. Contactar responsable PDV hoy
2. Generar OC de reposición
3. Priorizar si es Jumbo (riesgo pérdida espacio góndola)
4. Actualizar stock_inicial cuando llegue la reposición</t>
        </r>
      </text>
    </comment>
    <comment ref="V24" authorId="0" shapeId="0" xr:uid="{00000000-0006-0000-0000-000011000000}">
      <text>
        <r>
          <rPr>
            <sz val="10"/>
            <rFont val="Arial"/>
            <family val="2"/>
          </rPr>
          <t>🔴 META NO CUMPLIDA (&lt;60%)
Acción:
1. Revisar si PDV está activo ese mes
2. Evaluar acción push: promotora, degustación
3. Verificar que producto está en góndola correcta
4. Consultar sell-out si disponible (Jumbo: EDI)</t>
        </r>
      </text>
    </comment>
    <comment ref="W24" authorId="0" shapeId="0" xr:uid="{00000000-0006-0000-0000-000028000000}">
      <text>
        <r>
          <rPr>
            <sz val="10"/>
            <rFont val="Arial"/>
            <family val="2"/>
          </rPr>
          <t>📅 ÚLTIMA VISITA
Ingresar fecha de la última visita física al PDV.
Si está vacío, el KPI 'Sin visita' se activa automáticamente.
Frecuencia recomendada:
• Jumbo: semanal
• Especializados: quincenal
• HoReCa/Turístico: mensual</t>
        </r>
      </text>
    </comment>
    <comment ref="X24" authorId="0" shapeId="0" xr:uid="{00000000-0006-0000-0000-00003F000000}">
      <text>
        <r>
          <rPr>
            <sz val="10"/>
            <rFont val="Arial"/>
            <family val="2"/>
          </rPr>
          <t>🔴 SIN STOCK
Acción inmediata:
1. Contactar responsable PDV hoy
2. Generar OC de reposición
3. Priorizar si es Jumbo (riesgo pérdida espacio góndola)
4. Actualizar stock_inicial cuando llegue la reposición</t>
        </r>
      </text>
    </comment>
    <comment ref="V25" authorId="0" shapeId="0" xr:uid="{00000000-0006-0000-0000-000012000000}">
      <text>
        <r>
          <rPr>
            <sz val="10"/>
            <rFont val="Arial"/>
            <family val="2"/>
          </rPr>
          <t>🔴 META NO CUMPLIDA (&lt;60%)
Acción:
1. Revisar si PDV está activo ese mes
2. Evaluar acción push: promotora, degustación
3. Verificar que producto está en góndola correcta
4. Consultar sell-out si disponible (Jumbo: EDI)</t>
        </r>
      </text>
    </comment>
    <comment ref="W25" authorId="0" shapeId="0" xr:uid="{00000000-0006-0000-0000-000029000000}">
      <text>
        <r>
          <rPr>
            <sz val="10"/>
            <rFont val="Arial"/>
            <family val="2"/>
          </rPr>
          <t>📅 ÚLTIMA VISITA
Ingresar fecha de la última visita física al PDV.
Si está vacío, el KPI 'Sin visita' se activa automáticamente.
Frecuencia recomendada:
• Jumbo: semanal
• Especializados: quincenal
• HoReCa/Turístico: mensual</t>
        </r>
      </text>
    </comment>
    <comment ref="X25" authorId="0" shapeId="0" xr:uid="{00000000-0006-0000-0000-000040000000}">
      <text>
        <r>
          <rPr>
            <sz val="10"/>
            <rFont val="Arial"/>
            <family val="2"/>
          </rPr>
          <t>🔴 SIN STOCK
Acción inmediata:
1. Contactar responsable PDV hoy
2. Generar OC de reposición
3. Priorizar si es Jumbo (riesgo pérdida espacio góndola)
4. Actualizar stock_inicial cuando llegue la reposición</t>
        </r>
      </text>
    </comment>
    <comment ref="V26" authorId="0" shapeId="0" xr:uid="{00000000-0006-0000-0000-000013000000}">
      <text>
        <r>
          <rPr>
            <sz val="10"/>
            <rFont val="Arial"/>
            <family val="2"/>
          </rPr>
          <t>🔴 META NO CUMPLIDA (&lt;60%)
Acción:
1. Revisar si PDV está activo ese mes
2. Evaluar acción push: promotora, degustación
3. Verificar que producto está en góndola correcta
4. Consultar sell-out si disponible (Jumbo: EDI)</t>
        </r>
      </text>
    </comment>
    <comment ref="W26" authorId="0" shapeId="0" xr:uid="{00000000-0006-0000-0000-00002A000000}">
      <text>
        <r>
          <rPr>
            <sz val="10"/>
            <rFont val="Arial"/>
            <family val="2"/>
          </rPr>
          <t>📅 ÚLTIMA VISITA
Ingresar fecha de la última visita física al PDV.
Si está vacío, el KPI 'Sin visita' se activa automáticamente.
Frecuencia recomendada:
• Jumbo: semanal
• Especializados: quincenal
• HoReCa/Turístico: mensual</t>
        </r>
      </text>
    </comment>
    <comment ref="X26" authorId="0" shapeId="0" xr:uid="{00000000-0006-0000-0000-000041000000}">
      <text>
        <r>
          <rPr>
            <sz val="10"/>
            <rFont val="Arial"/>
            <family val="2"/>
          </rPr>
          <t>🔴 SIN STOCK
Acción inmediata:
1. Contactar responsable PDV hoy
2. Generar OC de reposición
3. Priorizar si es Jumbo (riesgo pérdida espacio góndola)
4. Actualizar stock_inicial cuando llegue la reposición</t>
        </r>
      </text>
    </comment>
    <comment ref="V27" authorId="0" shapeId="0" xr:uid="{00000000-0006-0000-0000-000014000000}">
      <text>
        <r>
          <rPr>
            <sz val="10"/>
            <rFont val="Arial"/>
            <family val="2"/>
          </rPr>
          <t>🔴 META NO CUMPLIDA (&lt;60%)
Acción:
1. Revisar si PDV está activo ese mes
2. Evaluar acción push: promotora, degustación
3. Verificar que producto está en góndola correcta
4. Consultar sell-out si disponible (Jumbo: EDI)</t>
        </r>
      </text>
    </comment>
    <comment ref="W27" authorId="0" shapeId="0" xr:uid="{00000000-0006-0000-0000-00002B000000}">
      <text>
        <r>
          <rPr>
            <sz val="10"/>
            <rFont val="Arial"/>
            <family val="2"/>
          </rPr>
          <t>📅 ÚLTIMA VISITA
Ingresar fecha de la última visita física al PDV.
Si está vacío, el KPI 'Sin visita' se activa automáticamente.
Frecuencia recomendada:
• Jumbo: semanal
• Especializados: quincenal
• HoReCa/Turístico: mensual</t>
        </r>
      </text>
    </comment>
    <comment ref="X27" authorId="0" shapeId="0" xr:uid="{00000000-0006-0000-0000-000042000000}">
      <text>
        <r>
          <rPr>
            <sz val="10"/>
            <rFont val="Arial"/>
            <family val="2"/>
          </rPr>
          <t>🔴 SIN STOCK
Acción inmediata:
1. Contactar responsable PDV hoy
2. Generar OC de reposición
3. Priorizar si es Jumbo (riesgo pérdida espacio góndola)
4. Actualizar stock_inicial cuando llegue la reposición</t>
        </r>
      </text>
    </comment>
    <comment ref="V28" authorId="0" shapeId="0" xr:uid="{00000000-0006-0000-0000-000015000000}">
      <text>
        <r>
          <rPr>
            <sz val="10"/>
            <rFont val="Arial"/>
            <family val="2"/>
          </rPr>
          <t>🔴 META NO CUMPLIDA (&lt;60%)
Acción:
1. Revisar si PDV está activo ese mes
2. Evaluar acción push: promotora, degustación
3. Verificar que producto está en góndola correcta
4. Consultar sell-out si disponible (Jumbo: EDI)</t>
        </r>
      </text>
    </comment>
    <comment ref="W28" authorId="0" shapeId="0" xr:uid="{00000000-0006-0000-0000-00002C000000}">
      <text>
        <r>
          <rPr>
            <sz val="10"/>
            <rFont val="Arial"/>
            <family val="2"/>
          </rPr>
          <t>📅 ÚLTIMA VISITA
Ingresar fecha de la última visita física al PDV.
Si está vacío, el KPI 'Sin visita' se activa automáticamente.
Frecuencia recomendada:
• Jumbo: semanal
• Especializados: quincenal
• HoReCa/Turístico: mensual</t>
        </r>
      </text>
    </comment>
    <comment ref="X28" authorId="0" shapeId="0" xr:uid="{00000000-0006-0000-0000-000043000000}">
      <text>
        <r>
          <rPr>
            <sz val="10"/>
            <rFont val="Arial"/>
            <family val="2"/>
          </rPr>
          <t>🔴 SIN STOCK
Acción inmediata:
1. Contactar responsable PDV hoy
2. Generar OC de reposición
3. Priorizar si es Jumbo (riesgo pérdida espacio góndola)
4. Actualizar stock_inicial cuando llegue la reposición</t>
        </r>
      </text>
    </comment>
    <comment ref="V29" authorId="0" shapeId="0" xr:uid="{00000000-0006-0000-0000-000016000000}">
      <text>
        <r>
          <rPr>
            <sz val="10"/>
            <rFont val="Arial"/>
            <family val="2"/>
          </rPr>
          <t>🔴 META NO CUMPLIDA (&lt;60%)
Acción:
1. Revisar si PDV está activo ese mes
2. Evaluar acción push: promotora, degustación
3. Verificar que producto está en góndola correcta
4. Consultar sell-out si disponible (Jumbo: EDI)</t>
        </r>
      </text>
    </comment>
    <comment ref="W29" authorId="0" shapeId="0" xr:uid="{00000000-0006-0000-0000-00002D000000}">
      <text>
        <r>
          <rPr>
            <sz val="10"/>
            <rFont val="Arial"/>
            <family val="2"/>
          </rPr>
          <t>📅 ÚLTIMA VISITA
Ingresar fecha de la última visita física al PDV.
Si está vacío, el KPI 'Sin visita' se activa automáticamente.
Frecuencia recomendada:
• Jumbo: semanal
• Especializados: quincenal
• HoReCa/Turístico: mensual</t>
        </r>
      </text>
    </comment>
    <comment ref="X29" authorId="0" shapeId="0" xr:uid="{00000000-0006-0000-0000-000044000000}">
      <text>
        <r>
          <rPr>
            <sz val="10"/>
            <rFont val="Arial"/>
            <family val="2"/>
          </rPr>
          <t>🔴 SIN STOCK
Acción inmediata:
1. Contactar responsable PDV hoy
2. Generar OC de reposición
3. Priorizar si es Jumbo (riesgo pérdida espacio góndola)
4. Actualizar stock_inicial cuando llegue la reposición</t>
        </r>
      </text>
    </comment>
    <comment ref="V30" authorId="0" shapeId="0" xr:uid="{00000000-0006-0000-0000-000017000000}">
      <text>
        <r>
          <rPr>
            <sz val="10"/>
            <rFont val="Arial"/>
            <family val="2"/>
          </rPr>
          <t>🔴 META NO CUMPLIDA (&lt;60%)
Acción:
1. Revisar si PDV está activo ese mes
2. Evaluar acción push: promotora, degustación
3. Verificar que producto está en góndola correcta
4. Consultar sell-out si disponible (Jumbo: EDI)</t>
        </r>
      </text>
    </comment>
    <comment ref="W30" authorId="0" shapeId="0" xr:uid="{00000000-0006-0000-0000-00002E000000}">
      <text>
        <r>
          <rPr>
            <sz val="10"/>
            <rFont val="Arial"/>
            <family val="2"/>
          </rPr>
          <t>📅 ÚLTIMA VISITA
Ingresar fecha de la última visita física al PDV.
Si está vacío, el KPI 'Sin visita' se activa automáticamente.
Frecuencia recomendada:
• Jumbo: semanal
• Especializados: quincenal
• HoReCa/Turístico: mensual</t>
        </r>
      </text>
    </comment>
    <comment ref="X30" authorId="0" shapeId="0" xr:uid="{00000000-0006-0000-0000-000045000000}">
      <text>
        <r>
          <rPr>
            <sz val="10"/>
            <rFont val="Arial"/>
            <family val="2"/>
          </rPr>
          <t>🔴 SIN STOCK
Acción inmediata:
1. Contactar responsable PDV hoy
2. Generar OC de reposición
3. Priorizar si es Jumbo (riesgo pérdida espacio góndola)
4. Actualizar stock_inicial cuando llegue la reposición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3" authorId="0" shapeId="0" xr:uid="{00000000-0006-0000-0200-000001000000}">
      <text>
        <r>
          <rPr>
            <sz val="10"/>
            <rFont val="Arial"/>
            <family val="2"/>
          </rPr>
          <t>Uds Vendidas = Sell-in
(unidades que tú despachas al PDV)
Ingresar siempre.</t>
        </r>
      </text>
    </comment>
    <comment ref="H3" authorId="0" shapeId="0" xr:uid="{00000000-0006-0000-0200-000002000000}">
      <text>
        <r>
          <rPr>
            <sz val="10"/>
            <rFont val="Arial"/>
            <family val="2"/>
          </rPr>
          <t>Uds Sell-out = unidades vendidas al consumidor final.
Opcional — disponible solo para Jumbo via EDI Cencosud.
Dejar vacío si no tienes el dato.</t>
        </r>
      </text>
    </comment>
    <comment ref="M3" authorId="0" shapeId="0" xr:uid="{00000000-0006-0000-0200-000003000000}">
      <text>
        <r>
          <rPr>
            <sz val="10"/>
            <rFont val="Arial"/>
            <family val="2"/>
          </rPr>
          <t>💰 CxC PENDIENTE
Acción:
1. Verificar estado factura con administración
2. Jumbo: contactar buyer/área pagos Cencosud
3. Si &gt;30 días: escalar a KAM comercial
4. Registrar cobro en col Cobrado cuando se reciba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K3" authorId="0" shapeId="0" xr:uid="{00000000-0006-0000-0300-000046000000}">
      <text>
        <r>
          <rPr>
            <sz val="10"/>
            <rFont val="Arial"/>
            <family val="2"/>
          </rPr>
          <t>ALERTAS:
🔴 Sin stock → reponer urgente esta semana
🟡 Stock bajo → reponer en próxima visita
⚠️ Rot.baja → sell-out bajo, evaluar acción
✅ OK → sin acción requerida</t>
        </r>
      </text>
    </comment>
    <comment ref="F4" authorId="0" shapeId="0" xr:uid="{00000000-0006-0000-0300-000001000000}">
      <text>
        <r>
          <rPr>
            <sz val="10"/>
            <rFont val="Arial"/>
            <family val="2"/>
          </rPr>
          <t>Stock Inicial
Editar cuando llegue una reposición.
Sumar al valor anterior o reemplazar con el nuevo total.</t>
        </r>
      </text>
    </comment>
    <comment ref="I4" authorId="0" shapeId="0" xr:uid="{00000000-0006-0000-0300-000018000000}">
      <text>
        <r>
          <rPr>
            <sz val="10"/>
            <rFont val="Arial"/>
            <family val="2"/>
          </rPr>
          <t>Stock Mínimo
Umbral de alerta. Regla recomendada:
• Jumbo: 15-20 uds (1 semana de venta)
• Especializado: 8-10 uds
• Otros: 4-6 uds</t>
        </r>
      </text>
    </comment>
    <comment ref="J4" authorId="0" shapeId="0" xr:uid="{00000000-0006-0000-0300-00002F000000}">
      <text>
        <r>
          <rPr>
            <sz val="10"/>
            <rFont val="Arial"/>
            <family val="2"/>
          </rPr>
          <t>Rotación = Sell-out ÷ Sell-in
• Sell-out disponible: Jumbo (EDI Cencosud)
• Otros canales: ingresar estimado en VENTAS col H
• &lt;50% por 3 semanas = acción urgente
• 'Sin dato' = no se ha registrado sell-out</t>
        </r>
      </text>
    </comment>
    <comment ref="K4" authorId="0" shapeId="0" xr:uid="{00000000-0006-0000-0300-000047000000}">
      <text>
        <r>
          <rPr>
            <sz val="10"/>
            <rFont val="Arial"/>
            <family val="2"/>
          </rPr>
          <t>🔴 SIN STOCK
Acción inmediata:
1. Contactar responsable PDV hoy
2. Generar OC de reposición
3. Priorizar si es Jumbo (riesgo pérdida espacio góndola)
4. Actualizar stock_inicial cuando llegue la reposición</t>
        </r>
      </text>
    </comment>
    <comment ref="F5" authorId="0" shapeId="0" xr:uid="{00000000-0006-0000-0300-000002000000}">
      <text>
        <r>
          <rPr>
            <sz val="10"/>
            <rFont val="Arial"/>
            <family val="2"/>
          </rPr>
          <t>Stock Inicial
Editar cuando llegue una reposición.
Sumar al valor anterior o reemplazar con el nuevo total.</t>
        </r>
      </text>
    </comment>
    <comment ref="I5" authorId="0" shapeId="0" xr:uid="{00000000-0006-0000-0300-000019000000}">
      <text>
        <r>
          <rPr>
            <sz val="10"/>
            <rFont val="Arial"/>
            <family val="2"/>
          </rPr>
          <t>Stock Mínimo
Umbral de alerta. Regla recomendada:
• Jumbo: 15-20 uds (1 semana de venta)
• Especializado: 8-10 uds
• Otros: 4-6 uds</t>
        </r>
      </text>
    </comment>
    <comment ref="J5" authorId="0" shapeId="0" xr:uid="{00000000-0006-0000-0300-000030000000}">
      <text>
        <r>
          <rPr>
            <sz val="10"/>
            <rFont val="Arial"/>
            <family val="2"/>
          </rPr>
          <t>Rotación = Sell-out ÷ Sell-in
• Sell-out disponible: Jumbo (EDI Cencosud)
• Otros canales: ingresar estimado en VENTAS col H
• &lt;50% por 3 semanas = acción urgente
• 'Sin dato' = no se ha registrado sell-out</t>
        </r>
      </text>
    </comment>
    <comment ref="K5" authorId="0" shapeId="0" xr:uid="{00000000-0006-0000-0300-000048000000}">
      <text>
        <r>
          <rPr>
            <sz val="10"/>
            <rFont val="Arial"/>
            <family val="2"/>
          </rPr>
          <t>🔴 SIN STOCK
Acción inmediata:
1. Contactar responsable PDV hoy
2. Generar OC de reposición
3. Priorizar si es Jumbo (riesgo pérdida espacio góndola)
4. Actualizar stock_inicial cuando llegue la reposición</t>
        </r>
      </text>
    </comment>
    <comment ref="F6" authorId="0" shapeId="0" xr:uid="{00000000-0006-0000-0300-000003000000}">
      <text>
        <r>
          <rPr>
            <sz val="10"/>
            <rFont val="Arial"/>
            <family val="2"/>
          </rPr>
          <t>Stock Inicial
Editar cuando llegue una reposición.
Sumar al valor anterior o reemplazar con el nuevo total.</t>
        </r>
      </text>
    </comment>
    <comment ref="I6" authorId="0" shapeId="0" xr:uid="{00000000-0006-0000-0300-00001A000000}">
      <text>
        <r>
          <rPr>
            <sz val="10"/>
            <rFont val="Arial"/>
            <family val="2"/>
          </rPr>
          <t>Stock Mínimo
Umbral de alerta. Regla recomendada:
• Jumbo: 15-20 uds (1 semana de venta)
• Especializado: 8-10 uds
• Otros: 4-6 uds</t>
        </r>
      </text>
    </comment>
    <comment ref="J6" authorId="0" shapeId="0" xr:uid="{00000000-0006-0000-0300-000031000000}">
      <text>
        <r>
          <rPr>
            <sz val="10"/>
            <rFont val="Arial"/>
            <family val="2"/>
          </rPr>
          <t>Rotación = Sell-out ÷ Sell-in
• Sell-out disponible: Jumbo (EDI Cencosud)
• Otros canales: ingresar estimado en VENTAS col H
• &lt;50% por 3 semanas = acción urgente
• 'Sin dato' = no se ha registrado sell-out</t>
        </r>
      </text>
    </comment>
    <comment ref="K6" authorId="0" shapeId="0" xr:uid="{00000000-0006-0000-0300-000049000000}">
      <text>
        <r>
          <rPr>
            <sz val="10"/>
            <rFont val="Arial"/>
            <family val="2"/>
          </rPr>
          <t>🔴 SIN STOCK
Acción inmediata:
1. Contactar responsable PDV hoy
2. Generar OC de reposición
3. Priorizar si es Jumbo (riesgo pérdida espacio góndola)
4. Actualizar stock_inicial cuando llegue la reposición</t>
        </r>
      </text>
    </comment>
    <comment ref="F7" authorId="0" shapeId="0" xr:uid="{00000000-0006-0000-0300-000004000000}">
      <text>
        <r>
          <rPr>
            <sz val="10"/>
            <rFont val="Arial"/>
            <family val="2"/>
          </rPr>
          <t>Stock Inicial
Editar cuando llegue una reposición.
Sumar al valor anterior o reemplazar con el nuevo total.</t>
        </r>
      </text>
    </comment>
    <comment ref="I7" authorId="0" shapeId="0" xr:uid="{00000000-0006-0000-0300-00001B000000}">
      <text>
        <r>
          <rPr>
            <sz val="10"/>
            <rFont val="Arial"/>
            <family val="2"/>
          </rPr>
          <t>Stock Mínimo
Umbral de alerta. Regla recomendada:
• Jumbo: 15-20 uds (1 semana de venta)
• Especializado: 8-10 uds
• Otros: 4-6 uds</t>
        </r>
      </text>
    </comment>
    <comment ref="J7" authorId="0" shapeId="0" xr:uid="{00000000-0006-0000-0300-000032000000}">
      <text>
        <r>
          <rPr>
            <sz val="10"/>
            <rFont val="Arial"/>
            <family val="2"/>
          </rPr>
          <t>Rotación = Sell-out ÷ Sell-in
• Sell-out disponible: Jumbo (EDI Cencosud)
• Otros canales: ingresar estimado en VENTAS col H
• &lt;50% por 3 semanas = acción urgente
• 'Sin dato' = no se ha registrado sell-out</t>
        </r>
      </text>
    </comment>
    <comment ref="K7" authorId="0" shapeId="0" xr:uid="{00000000-0006-0000-0300-00004A000000}">
      <text>
        <r>
          <rPr>
            <sz val="10"/>
            <rFont val="Arial"/>
            <family val="2"/>
          </rPr>
          <t>🔴 SIN STOCK
Acción inmediata:
1. Contactar responsable PDV hoy
2. Generar OC de reposición
3. Priorizar si es Jumbo (riesgo pérdida espacio góndola)
4. Actualizar stock_inicial cuando llegue la reposición</t>
        </r>
      </text>
    </comment>
    <comment ref="F8" authorId="0" shapeId="0" xr:uid="{00000000-0006-0000-0300-000005000000}">
      <text>
        <r>
          <rPr>
            <sz val="10"/>
            <rFont val="Arial"/>
            <family val="2"/>
          </rPr>
          <t>Stock Inicial
Editar cuando llegue una reposición.
Sumar al valor anterior o reemplazar con el nuevo total.</t>
        </r>
      </text>
    </comment>
    <comment ref="I8" authorId="0" shapeId="0" xr:uid="{00000000-0006-0000-0300-00001C000000}">
      <text>
        <r>
          <rPr>
            <sz val="10"/>
            <rFont val="Arial"/>
            <family val="2"/>
          </rPr>
          <t>Stock Mínimo
Umbral de alerta. Regla recomendada:
• Jumbo: 15-20 uds (1 semana de venta)
• Especializado: 8-10 uds
• Otros: 4-6 uds</t>
        </r>
      </text>
    </comment>
    <comment ref="J8" authorId="0" shapeId="0" xr:uid="{00000000-0006-0000-0300-000033000000}">
      <text>
        <r>
          <rPr>
            <sz val="10"/>
            <rFont val="Arial"/>
            <family val="2"/>
          </rPr>
          <t>Rotación = Sell-out ÷ Sell-in
• Sell-out disponible: Jumbo (EDI Cencosud)
• Otros canales: ingresar estimado en VENTAS col H
• &lt;50% por 3 semanas = acción urgente
• 'Sin dato' = no se ha registrado sell-out</t>
        </r>
      </text>
    </comment>
    <comment ref="K8" authorId="0" shapeId="0" xr:uid="{00000000-0006-0000-0300-00004B000000}">
      <text>
        <r>
          <rPr>
            <sz val="10"/>
            <rFont val="Arial"/>
            <family val="2"/>
          </rPr>
          <t>🔴 SIN STOCK
Acción inmediata:
1. Contactar responsable PDV hoy
2. Generar OC de reposición
3. Priorizar si es Jumbo (riesgo pérdida espacio góndola)
4. Actualizar stock_inicial cuando llegue la reposición</t>
        </r>
      </text>
    </comment>
    <comment ref="F9" authorId="0" shapeId="0" xr:uid="{00000000-0006-0000-0300-000006000000}">
      <text>
        <r>
          <rPr>
            <sz val="10"/>
            <rFont val="Arial"/>
            <family val="2"/>
          </rPr>
          <t>Stock Inicial
Editar cuando llegue una reposición.
Sumar al valor anterior o reemplazar con el nuevo total.</t>
        </r>
      </text>
    </comment>
    <comment ref="I9" authorId="0" shapeId="0" xr:uid="{00000000-0006-0000-0300-00001D000000}">
      <text>
        <r>
          <rPr>
            <sz val="10"/>
            <rFont val="Arial"/>
            <family val="2"/>
          </rPr>
          <t>Stock Mínimo
Umbral de alerta. Regla recomendada:
• Jumbo: 15-20 uds (1 semana de venta)
• Especializado: 8-10 uds
• Otros: 4-6 uds</t>
        </r>
      </text>
    </comment>
    <comment ref="J9" authorId="0" shapeId="0" xr:uid="{00000000-0006-0000-0300-000034000000}">
      <text>
        <r>
          <rPr>
            <sz val="10"/>
            <rFont val="Arial"/>
            <family val="2"/>
          </rPr>
          <t>Rotación = Sell-out ÷ Sell-in
• Sell-out disponible: Jumbo (EDI Cencosud)
• Otros canales: ingresar estimado en VENTAS col H
• &lt;50% por 3 semanas = acción urgente
• 'Sin dato' = no se ha registrado sell-out</t>
        </r>
      </text>
    </comment>
    <comment ref="K9" authorId="0" shapeId="0" xr:uid="{00000000-0006-0000-0300-00004C000000}">
      <text>
        <r>
          <rPr>
            <sz val="10"/>
            <rFont val="Arial"/>
            <family val="2"/>
          </rPr>
          <t>🔴 SIN STOCK
Acción inmediata:
1. Contactar responsable PDV hoy
2. Generar OC de reposición
3. Priorizar si es Jumbo (riesgo pérdida espacio góndola)
4. Actualizar stock_inicial cuando llegue la reposición</t>
        </r>
      </text>
    </comment>
    <comment ref="F10" authorId="0" shapeId="0" xr:uid="{00000000-0006-0000-0300-000007000000}">
      <text>
        <r>
          <rPr>
            <sz val="10"/>
            <rFont val="Arial"/>
            <family val="2"/>
          </rPr>
          <t>Stock Inicial
Editar cuando llegue una reposición.
Sumar al valor anterior o reemplazar con el nuevo total.</t>
        </r>
      </text>
    </comment>
    <comment ref="I10" authorId="0" shapeId="0" xr:uid="{00000000-0006-0000-0300-00001E000000}">
      <text>
        <r>
          <rPr>
            <sz val="10"/>
            <rFont val="Arial"/>
            <family val="2"/>
          </rPr>
          <t>Stock Mínimo
Umbral de alerta. Regla recomendada:
• Jumbo: 15-20 uds (1 semana de venta)
• Especializado: 8-10 uds
• Otros: 4-6 uds</t>
        </r>
      </text>
    </comment>
    <comment ref="J10" authorId="0" shapeId="0" xr:uid="{00000000-0006-0000-0300-000035000000}">
      <text>
        <r>
          <rPr>
            <sz val="10"/>
            <rFont val="Arial"/>
            <family val="2"/>
          </rPr>
          <t>Rotación = Sell-out ÷ Sell-in
• Sell-out disponible: Jumbo (EDI Cencosud)
• Otros canales: ingresar estimado en VENTAS col H
• &lt;50% por 3 semanas = acción urgente
• 'Sin dato' = no se ha registrado sell-out</t>
        </r>
      </text>
    </comment>
    <comment ref="K10" authorId="0" shapeId="0" xr:uid="{00000000-0006-0000-0300-00004D000000}">
      <text>
        <r>
          <rPr>
            <sz val="10"/>
            <rFont val="Arial"/>
            <family val="2"/>
          </rPr>
          <t>🔴 SIN STOCK
Acción inmediata:
1. Contactar responsable PDV hoy
2. Generar OC de reposición
3. Priorizar si es Jumbo (riesgo pérdida espacio góndola)
4. Actualizar stock_inicial cuando llegue la reposición</t>
        </r>
      </text>
    </comment>
    <comment ref="F11" authorId="0" shapeId="0" xr:uid="{00000000-0006-0000-0300-000008000000}">
      <text>
        <r>
          <rPr>
            <sz val="10"/>
            <rFont val="Arial"/>
            <family val="2"/>
          </rPr>
          <t>Stock Inicial
Editar cuando llegue una reposición.
Sumar al valor anterior o reemplazar con el nuevo total.</t>
        </r>
      </text>
    </comment>
    <comment ref="I11" authorId="0" shapeId="0" xr:uid="{00000000-0006-0000-0300-00001F000000}">
      <text>
        <r>
          <rPr>
            <sz val="10"/>
            <rFont val="Arial"/>
            <family val="2"/>
          </rPr>
          <t>Stock Mínimo
Umbral de alerta. Regla recomendada:
• Jumbo: 15-20 uds (1 semana de venta)
• Especializado: 8-10 uds
• Otros: 4-6 uds</t>
        </r>
      </text>
    </comment>
    <comment ref="J11" authorId="0" shapeId="0" xr:uid="{00000000-0006-0000-0300-000036000000}">
      <text>
        <r>
          <rPr>
            <sz val="10"/>
            <rFont val="Arial"/>
            <family val="2"/>
          </rPr>
          <t>Rotación = Sell-out ÷ Sell-in
• Sell-out disponible: Jumbo (EDI Cencosud)
• Otros canales: ingresar estimado en VENTAS col H
• &lt;50% por 3 semanas = acción urgente
• 'Sin dato' = no se ha registrado sell-out</t>
        </r>
      </text>
    </comment>
    <comment ref="K11" authorId="0" shapeId="0" xr:uid="{00000000-0006-0000-0300-00004E000000}">
      <text>
        <r>
          <rPr>
            <sz val="10"/>
            <rFont val="Arial"/>
            <family val="2"/>
          </rPr>
          <t>🔴 SIN STOCK
Acción inmediata:
1. Contactar responsable PDV hoy
2. Generar OC de reposición
3. Priorizar si es Jumbo (riesgo pérdida espacio góndola)
4. Actualizar stock_inicial cuando llegue la reposición</t>
        </r>
      </text>
    </comment>
    <comment ref="F12" authorId="0" shapeId="0" xr:uid="{00000000-0006-0000-0300-000009000000}">
      <text>
        <r>
          <rPr>
            <sz val="10"/>
            <rFont val="Arial"/>
            <family val="2"/>
          </rPr>
          <t>Stock Inicial
Editar cuando llegue una reposición.
Sumar al valor anterior o reemplazar con el nuevo total.</t>
        </r>
      </text>
    </comment>
    <comment ref="I12" authorId="0" shapeId="0" xr:uid="{00000000-0006-0000-0300-000020000000}">
      <text>
        <r>
          <rPr>
            <sz val="10"/>
            <rFont val="Arial"/>
            <family val="2"/>
          </rPr>
          <t>Stock Mínimo
Umbral de alerta. Regla recomendada:
• Jumbo: 15-20 uds (1 semana de venta)
• Especializado: 8-10 uds
• Otros: 4-6 uds</t>
        </r>
      </text>
    </comment>
    <comment ref="J12" authorId="0" shapeId="0" xr:uid="{00000000-0006-0000-0300-000037000000}">
      <text>
        <r>
          <rPr>
            <sz val="10"/>
            <rFont val="Arial"/>
            <family val="2"/>
          </rPr>
          <t>Rotación = Sell-out ÷ Sell-in
• Sell-out disponible: Jumbo (EDI Cencosud)
• Otros canales: ingresar estimado en VENTAS col H
• &lt;50% por 3 semanas = acción urgente
• 'Sin dato' = no se ha registrado sell-out</t>
        </r>
      </text>
    </comment>
    <comment ref="K12" authorId="0" shapeId="0" xr:uid="{00000000-0006-0000-0300-00004F000000}">
      <text>
        <r>
          <rPr>
            <sz val="10"/>
            <rFont val="Arial"/>
            <family val="2"/>
          </rPr>
          <t>🔴 SIN STOCK
Acción inmediata:
1. Contactar responsable PDV hoy
2. Generar OC de reposición
3. Priorizar si es Jumbo (riesgo pérdida espacio góndola)
4. Actualizar stock_inicial cuando llegue la reposición</t>
        </r>
      </text>
    </comment>
    <comment ref="F13" authorId="0" shapeId="0" xr:uid="{00000000-0006-0000-0300-00000A000000}">
      <text>
        <r>
          <rPr>
            <sz val="10"/>
            <rFont val="Arial"/>
            <family val="2"/>
          </rPr>
          <t>Stock Inicial
Editar cuando llegue una reposición.
Sumar al valor anterior o reemplazar con el nuevo total.</t>
        </r>
      </text>
    </comment>
    <comment ref="I13" authorId="0" shapeId="0" xr:uid="{00000000-0006-0000-0300-000021000000}">
      <text>
        <r>
          <rPr>
            <sz val="10"/>
            <rFont val="Arial"/>
            <family val="2"/>
          </rPr>
          <t>Stock Mínimo
Umbral de alerta. Regla recomendada:
• Jumbo: 15-20 uds (1 semana de venta)
• Especializado: 8-10 uds
• Otros: 4-6 uds</t>
        </r>
      </text>
    </comment>
    <comment ref="J13" authorId="0" shapeId="0" xr:uid="{00000000-0006-0000-0300-000038000000}">
      <text>
        <r>
          <rPr>
            <sz val="10"/>
            <rFont val="Arial"/>
            <family val="2"/>
          </rPr>
          <t>Rotación = Sell-out ÷ Sell-in
• Sell-out disponible: Jumbo (EDI Cencosud)
• Otros canales: ingresar estimado en VENTAS col H
• &lt;50% por 3 semanas = acción urgente
• 'Sin dato' = no se ha registrado sell-out</t>
        </r>
      </text>
    </comment>
    <comment ref="K13" authorId="0" shapeId="0" xr:uid="{00000000-0006-0000-0300-000050000000}">
      <text>
        <r>
          <rPr>
            <sz val="10"/>
            <rFont val="Arial"/>
            <family val="2"/>
          </rPr>
          <t>🔴 SIN STOCK
Acción inmediata:
1. Contactar responsable PDV hoy
2. Generar OC de reposición
3. Priorizar si es Jumbo (riesgo pérdida espacio góndola)
4. Actualizar stock_inicial cuando llegue la reposición</t>
        </r>
      </text>
    </comment>
    <comment ref="F14" authorId="0" shapeId="0" xr:uid="{00000000-0006-0000-0300-00000B000000}">
      <text>
        <r>
          <rPr>
            <sz val="10"/>
            <rFont val="Arial"/>
            <family val="2"/>
          </rPr>
          <t>Stock Inicial
Editar cuando llegue una reposición.
Sumar al valor anterior o reemplazar con el nuevo total.</t>
        </r>
      </text>
    </comment>
    <comment ref="I14" authorId="0" shapeId="0" xr:uid="{00000000-0006-0000-0300-000022000000}">
      <text>
        <r>
          <rPr>
            <sz val="10"/>
            <rFont val="Arial"/>
            <family val="2"/>
          </rPr>
          <t>Stock Mínimo
Umbral de alerta. Regla recomendada:
• Jumbo: 15-20 uds (1 semana de venta)
• Especializado: 8-10 uds
• Otros: 4-6 uds</t>
        </r>
      </text>
    </comment>
    <comment ref="J14" authorId="0" shapeId="0" xr:uid="{00000000-0006-0000-0300-000039000000}">
      <text>
        <r>
          <rPr>
            <sz val="10"/>
            <rFont val="Arial"/>
            <family val="2"/>
          </rPr>
          <t>Rotación = Sell-out ÷ Sell-in
• Sell-out disponible: Jumbo (EDI Cencosud)
• Otros canales: ingresar estimado en VENTAS col H
• &lt;50% por 3 semanas = acción urgente
• 'Sin dato' = no se ha registrado sell-out</t>
        </r>
      </text>
    </comment>
    <comment ref="K14" authorId="0" shapeId="0" xr:uid="{00000000-0006-0000-0300-000051000000}">
      <text>
        <r>
          <rPr>
            <sz val="10"/>
            <rFont val="Arial"/>
            <family val="2"/>
          </rPr>
          <t>🔴 SIN STOCK
Acción inmediata:
1. Contactar responsable PDV hoy
2. Generar OC de reposición
3. Priorizar si es Jumbo (riesgo pérdida espacio góndola)
4. Actualizar stock_inicial cuando llegue la reposición</t>
        </r>
      </text>
    </comment>
    <comment ref="F15" authorId="0" shapeId="0" xr:uid="{00000000-0006-0000-0300-00000C000000}">
      <text>
        <r>
          <rPr>
            <sz val="10"/>
            <rFont val="Arial"/>
            <family val="2"/>
          </rPr>
          <t>Stock Inicial
Editar cuando llegue una reposición.
Sumar al valor anterior o reemplazar con el nuevo total.</t>
        </r>
      </text>
    </comment>
    <comment ref="I15" authorId="0" shapeId="0" xr:uid="{00000000-0006-0000-0300-000023000000}">
      <text>
        <r>
          <rPr>
            <sz val="10"/>
            <rFont val="Arial"/>
            <family val="2"/>
          </rPr>
          <t>Stock Mínimo
Umbral de alerta. Regla recomendada:
• Jumbo: 15-20 uds (1 semana de venta)
• Especializado: 8-10 uds
• Otros: 4-6 uds</t>
        </r>
      </text>
    </comment>
    <comment ref="J15" authorId="0" shapeId="0" xr:uid="{00000000-0006-0000-0300-00003A000000}">
      <text>
        <r>
          <rPr>
            <sz val="10"/>
            <rFont val="Arial"/>
            <family val="2"/>
          </rPr>
          <t>Rotación = Sell-out ÷ Sell-in
• Sell-out disponible: Jumbo (EDI Cencosud)
• Otros canales: ingresar estimado en VENTAS col H
• &lt;50% por 3 semanas = acción urgente
• 'Sin dato' = no se ha registrado sell-out</t>
        </r>
      </text>
    </comment>
    <comment ref="K15" authorId="0" shapeId="0" xr:uid="{00000000-0006-0000-0300-000052000000}">
      <text>
        <r>
          <rPr>
            <sz val="10"/>
            <rFont val="Arial"/>
            <family val="2"/>
          </rPr>
          <t>🔴 SIN STOCK
Acción inmediata:
1. Contactar responsable PDV hoy
2. Generar OC de reposición
3. Priorizar si es Jumbo (riesgo pérdida espacio góndola)
4. Actualizar stock_inicial cuando llegue la reposición</t>
        </r>
      </text>
    </comment>
    <comment ref="F16" authorId="0" shapeId="0" xr:uid="{00000000-0006-0000-0300-00000D000000}">
      <text>
        <r>
          <rPr>
            <sz val="10"/>
            <rFont val="Arial"/>
            <family val="2"/>
          </rPr>
          <t>Stock Inicial
Editar cuando llegue una reposición.
Sumar al valor anterior o reemplazar con el nuevo total.</t>
        </r>
      </text>
    </comment>
    <comment ref="I16" authorId="0" shapeId="0" xr:uid="{00000000-0006-0000-0300-000024000000}">
      <text>
        <r>
          <rPr>
            <sz val="10"/>
            <rFont val="Arial"/>
            <family val="2"/>
          </rPr>
          <t>Stock Mínimo
Umbral de alerta. Regla recomendada:
• Jumbo: 15-20 uds (1 semana de venta)
• Especializado: 8-10 uds
• Otros: 4-6 uds</t>
        </r>
      </text>
    </comment>
    <comment ref="J16" authorId="0" shapeId="0" xr:uid="{00000000-0006-0000-0300-00003B000000}">
      <text>
        <r>
          <rPr>
            <sz val="10"/>
            <rFont val="Arial"/>
            <family val="2"/>
          </rPr>
          <t>Rotación = Sell-out ÷ Sell-in
• Sell-out disponible: Jumbo (EDI Cencosud)
• Otros canales: ingresar estimado en VENTAS col H
• &lt;50% por 3 semanas = acción urgente
• 'Sin dato' = no se ha registrado sell-out</t>
        </r>
      </text>
    </comment>
    <comment ref="K16" authorId="0" shapeId="0" xr:uid="{00000000-0006-0000-0300-000053000000}">
      <text>
        <r>
          <rPr>
            <sz val="10"/>
            <rFont val="Arial"/>
            <family val="2"/>
          </rPr>
          <t>🔴 SIN STOCK
Acción inmediata:
1. Contactar responsable PDV hoy
2. Generar OC de reposición
3. Priorizar si es Jumbo (riesgo pérdida espacio góndola)
4. Actualizar stock_inicial cuando llegue la reposición</t>
        </r>
      </text>
    </comment>
    <comment ref="F17" authorId="0" shapeId="0" xr:uid="{00000000-0006-0000-0300-00000E000000}">
      <text>
        <r>
          <rPr>
            <sz val="10"/>
            <rFont val="Arial"/>
            <family val="2"/>
          </rPr>
          <t>Stock Inicial
Editar cuando llegue una reposición.
Sumar al valor anterior o reemplazar con el nuevo total.</t>
        </r>
      </text>
    </comment>
    <comment ref="I17" authorId="0" shapeId="0" xr:uid="{00000000-0006-0000-0300-000025000000}">
      <text>
        <r>
          <rPr>
            <sz val="10"/>
            <rFont val="Arial"/>
            <family val="2"/>
          </rPr>
          <t>Stock Mínimo
Umbral de alerta. Regla recomendada:
• Jumbo: 15-20 uds (1 semana de venta)
• Especializado: 8-10 uds
• Otros: 4-6 uds</t>
        </r>
      </text>
    </comment>
    <comment ref="J17" authorId="0" shapeId="0" xr:uid="{00000000-0006-0000-0300-00003C000000}">
      <text>
        <r>
          <rPr>
            <sz val="10"/>
            <rFont val="Arial"/>
            <family val="2"/>
          </rPr>
          <t>Rotación = Sell-out ÷ Sell-in
• Sell-out disponible: Jumbo (EDI Cencosud)
• Otros canales: ingresar estimado en VENTAS col H
• &lt;50% por 3 semanas = acción urgente
• 'Sin dato' = no se ha registrado sell-out</t>
        </r>
      </text>
    </comment>
    <comment ref="K17" authorId="0" shapeId="0" xr:uid="{00000000-0006-0000-0300-000054000000}">
      <text>
        <r>
          <rPr>
            <sz val="10"/>
            <rFont val="Arial"/>
            <family val="2"/>
          </rPr>
          <t>🔴 SIN STOCK
Acción inmediata:
1. Contactar responsable PDV hoy
2. Generar OC de reposición
3. Priorizar si es Jumbo (riesgo pérdida espacio góndola)
4. Actualizar stock_inicial cuando llegue la reposición</t>
        </r>
      </text>
    </comment>
    <comment ref="F18" authorId="0" shapeId="0" xr:uid="{00000000-0006-0000-0300-00000F000000}">
      <text>
        <r>
          <rPr>
            <sz val="10"/>
            <rFont val="Arial"/>
            <family val="2"/>
          </rPr>
          <t>Stock Inicial
Editar cuando llegue una reposición.
Sumar al valor anterior o reemplazar con el nuevo total.</t>
        </r>
      </text>
    </comment>
    <comment ref="I18" authorId="0" shapeId="0" xr:uid="{00000000-0006-0000-0300-000026000000}">
      <text>
        <r>
          <rPr>
            <sz val="10"/>
            <rFont val="Arial"/>
            <family val="2"/>
          </rPr>
          <t>Stock Mínimo
Umbral de alerta. Regla recomendada:
• Jumbo: 15-20 uds (1 semana de venta)
• Especializado: 8-10 uds
• Otros: 4-6 uds</t>
        </r>
      </text>
    </comment>
    <comment ref="J18" authorId="0" shapeId="0" xr:uid="{00000000-0006-0000-0300-00003D000000}">
      <text>
        <r>
          <rPr>
            <sz val="10"/>
            <rFont val="Arial"/>
            <family val="2"/>
          </rPr>
          <t>Rotación = Sell-out ÷ Sell-in
• Sell-out disponible: Jumbo (EDI Cencosud)
• Otros canales: ingresar estimado en VENTAS col H
• &lt;50% por 3 semanas = acción urgente
• 'Sin dato' = no se ha registrado sell-out</t>
        </r>
      </text>
    </comment>
    <comment ref="K18" authorId="0" shapeId="0" xr:uid="{00000000-0006-0000-0300-000055000000}">
      <text>
        <r>
          <rPr>
            <sz val="10"/>
            <rFont val="Arial"/>
            <family val="2"/>
          </rPr>
          <t>🔴 SIN STOCK
Acción inmediata:
1. Contactar responsable PDV hoy
2. Generar OC de reposición
3. Priorizar si es Jumbo (riesgo pérdida espacio góndola)
4. Actualizar stock_inicial cuando llegue la reposición</t>
        </r>
      </text>
    </comment>
    <comment ref="F19" authorId="0" shapeId="0" xr:uid="{00000000-0006-0000-0300-000010000000}">
      <text>
        <r>
          <rPr>
            <sz val="10"/>
            <rFont val="Arial"/>
            <family val="2"/>
          </rPr>
          <t>Stock Inicial
Editar cuando llegue una reposición.
Sumar al valor anterior o reemplazar con el nuevo total.</t>
        </r>
      </text>
    </comment>
    <comment ref="I19" authorId="0" shapeId="0" xr:uid="{00000000-0006-0000-0300-000027000000}">
      <text>
        <r>
          <rPr>
            <sz val="10"/>
            <rFont val="Arial"/>
            <family val="2"/>
          </rPr>
          <t>Stock Mínimo
Umbral de alerta. Regla recomendada:
• Jumbo: 15-20 uds (1 semana de venta)
• Especializado: 8-10 uds
• Otros: 4-6 uds</t>
        </r>
      </text>
    </comment>
    <comment ref="J19" authorId="0" shapeId="0" xr:uid="{00000000-0006-0000-0300-00003E000000}">
      <text>
        <r>
          <rPr>
            <sz val="10"/>
            <rFont val="Arial"/>
            <family val="2"/>
          </rPr>
          <t>Rotación = Sell-out ÷ Sell-in
• Sell-out disponible: Jumbo (EDI Cencosud)
• Otros canales: ingresar estimado en VENTAS col H
• &lt;50% por 3 semanas = acción urgente
• 'Sin dato' = no se ha registrado sell-out</t>
        </r>
      </text>
    </comment>
    <comment ref="K19" authorId="0" shapeId="0" xr:uid="{00000000-0006-0000-0300-000056000000}">
      <text>
        <r>
          <rPr>
            <sz val="10"/>
            <rFont val="Arial"/>
            <family val="2"/>
          </rPr>
          <t>🔴 SIN STOCK
Acción inmediata:
1. Contactar responsable PDV hoy
2. Generar OC de reposición
3. Priorizar si es Jumbo (riesgo pérdida espacio góndola)
4. Actualizar stock_inicial cuando llegue la reposición</t>
        </r>
      </text>
    </comment>
    <comment ref="F20" authorId="0" shapeId="0" xr:uid="{00000000-0006-0000-0300-000011000000}">
      <text>
        <r>
          <rPr>
            <sz val="10"/>
            <rFont val="Arial"/>
            <family val="2"/>
          </rPr>
          <t>Stock Inicial
Editar cuando llegue una reposición.
Sumar al valor anterior o reemplazar con el nuevo total.</t>
        </r>
      </text>
    </comment>
    <comment ref="I20" authorId="0" shapeId="0" xr:uid="{00000000-0006-0000-0300-000028000000}">
      <text>
        <r>
          <rPr>
            <sz val="10"/>
            <rFont val="Arial"/>
            <family val="2"/>
          </rPr>
          <t>Stock Mínimo
Umbral de alerta. Regla recomendada:
• Jumbo: 15-20 uds (1 semana de venta)
• Especializado: 8-10 uds
• Otros: 4-6 uds</t>
        </r>
      </text>
    </comment>
    <comment ref="J20" authorId="0" shapeId="0" xr:uid="{00000000-0006-0000-0300-00003F000000}">
      <text>
        <r>
          <rPr>
            <sz val="10"/>
            <rFont val="Arial"/>
            <family val="2"/>
          </rPr>
          <t>Rotación = Sell-out ÷ Sell-in
• Sell-out disponible: Jumbo (EDI Cencosud)
• Otros canales: ingresar estimado en VENTAS col H
• &lt;50% por 3 semanas = acción urgente
• 'Sin dato' = no se ha registrado sell-out</t>
        </r>
      </text>
    </comment>
    <comment ref="K20" authorId="0" shapeId="0" xr:uid="{00000000-0006-0000-0300-000057000000}">
      <text>
        <r>
          <rPr>
            <sz val="10"/>
            <rFont val="Arial"/>
            <family val="2"/>
          </rPr>
          <t>🔴 SIN STOCK
Acción inmediata:
1. Contactar responsable PDV hoy
2. Generar OC de reposición
3. Priorizar si es Jumbo (riesgo pérdida espacio góndola)
4. Actualizar stock_inicial cuando llegue la reposición</t>
        </r>
      </text>
    </comment>
    <comment ref="F21" authorId="0" shapeId="0" xr:uid="{00000000-0006-0000-0300-000012000000}">
      <text>
        <r>
          <rPr>
            <sz val="10"/>
            <rFont val="Arial"/>
            <family val="2"/>
          </rPr>
          <t>Stock Inicial
Editar cuando llegue una reposición.
Sumar al valor anterior o reemplazar con el nuevo total.</t>
        </r>
      </text>
    </comment>
    <comment ref="I21" authorId="0" shapeId="0" xr:uid="{00000000-0006-0000-0300-000029000000}">
      <text>
        <r>
          <rPr>
            <sz val="10"/>
            <rFont val="Arial"/>
            <family val="2"/>
          </rPr>
          <t>Stock Mínimo
Umbral de alerta. Regla recomendada:
• Jumbo: 15-20 uds (1 semana de venta)
• Especializado: 8-10 uds
• Otros: 4-6 uds</t>
        </r>
      </text>
    </comment>
    <comment ref="J21" authorId="0" shapeId="0" xr:uid="{00000000-0006-0000-0300-000040000000}">
      <text>
        <r>
          <rPr>
            <sz val="10"/>
            <rFont val="Arial"/>
            <family val="2"/>
          </rPr>
          <t>Rotación = Sell-out ÷ Sell-in
• Sell-out disponible: Jumbo (EDI Cencosud)
• Otros canales: ingresar estimado en VENTAS col H
• &lt;50% por 3 semanas = acción urgente
• 'Sin dato' = no se ha registrado sell-out</t>
        </r>
      </text>
    </comment>
    <comment ref="K21" authorId="0" shapeId="0" xr:uid="{00000000-0006-0000-0300-000058000000}">
      <text>
        <r>
          <rPr>
            <sz val="10"/>
            <rFont val="Arial"/>
            <family val="2"/>
          </rPr>
          <t>🔴 SIN STOCK
Acción inmediata:
1. Contactar responsable PDV hoy
2. Generar OC de reposición
3. Priorizar si es Jumbo (riesgo pérdida espacio góndola)
4. Actualizar stock_inicial cuando llegue la reposición</t>
        </r>
      </text>
    </comment>
    <comment ref="F22" authorId="0" shapeId="0" xr:uid="{00000000-0006-0000-0300-000013000000}">
      <text>
        <r>
          <rPr>
            <sz val="10"/>
            <rFont val="Arial"/>
            <family val="2"/>
          </rPr>
          <t>Stock Inicial
Editar cuando llegue una reposición.
Sumar al valor anterior o reemplazar con el nuevo total.</t>
        </r>
      </text>
    </comment>
    <comment ref="I22" authorId="0" shapeId="0" xr:uid="{00000000-0006-0000-0300-00002A000000}">
      <text>
        <r>
          <rPr>
            <sz val="10"/>
            <rFont val="Arial"/>
            <family val="2"/>
          </rPr>
          <t>Stock Mínimo
Umbral de alerta. Regla recomendada:
• Jumbo: 15-20 uds (1 semana de venta)
• Especializado: 8-10 uds
• Otros: 4-6 uds</t>
        </r>
      </text>
    </comment>
    <comment ref="J22" authorId="0" shapeId="0" xr:uid="{00000000-0006-0000-0300-000041000000}">
      <text>
        <r>
          <rPr>
            <sz val="10"/>
            <rFont val="Arial"/>
            <family val="2"/>
          </rPr>
          <t>Rotación = Sell-out ÷ Sell-in
• Sell-out disponible: Jumbo (EDI Cencosud)
• Otros canales: ingresar estimado en VENTAS col H
• &lt;50% por 3 semanas = acción urgente
• 'Sin dato' = no se ha registrado sell-out</t>
        </r>
      </text>
    </comment>
    <comment ref="K22" authorId="0" shapeId="0" xr:uid="{00000000-0006-0000-0300-000059000000}">
      <text>
        <r>
          <rPr>
            <sz val="10"/>
            <rFont val="Arial"/>
            <family val="2"/>
          </rPr>
          <t>🔴 SIN STOCK
Acción inmediata:
1. Contactar responsable PDV hoy
2. Generar OC de reposición
3. Priorizar si es Jumbo (riesgo pérdida espacio góndola)
4. Actualizar stock_inicial cuando llegue la reposición</t>
        </r>
      </text>
    </comment>
    <comment ref="F23" authorId="0" shapeId="0" xr:uid="{00000000-0006-0000-0300-000014000000}">
      <text>
        <r>
          <rPr>
            <sz val="10"/>
            <rFont val="Arial"/>
            <family val="2"/>
          </rPr>
          <t>Stock Inicial
Editar cuando llegue una reposición.
Sumar al valor anterior o reemplazar con el nuevo total.</t>
        </r>
      </text>
    </comment>
    <comment ref="I23" authorId="0" shapeId="0" xr:uid="{00000000-0006-0000-0300-00002B000000}">
      <text>
        <r>
          <rPr>
            <sz val="10"/>
            <rFont val="Arial"/>
            <family val="2"/>
          </rPr>
          <t>Stock Mínimo
Umbral de alerta. Regla recomendada:
• Jumbo: 15-20 uds (1 semana de venta)
• Especializado: 8-10 uds
• Otros: 4-6 uds</t>
        </r>
      </text>
    </comment>
    <comment ref="J23" authorId="0" shapeId="0" xr:uid="{00000000-0006-0000-0300-000042000000}">
      <text>
        <r>
          <rPr>
            <sz val="10"/>
            <rFont val="Arial"/>
            <family val="2"/>
          </rPr>
          <t>Rotación = Sell-out ÷ Sell-in
• Sell-out disponible: Jumbo (EDI Cencosud)
• Otros canales: ingresar estimado en VENTAS col H
• &lt;50% por 3 semanas = acción urgente
• 'Sin dato' = no se ha registrado sell-out</t>
        </r>
      </text>
    </comment>
    <comment ref="K23" authorId="0" shapeId="0" xr:uid="{00000000-0006-0000-0300-00005A000000}">
      <text>
        <r>
          <rPr>
            <sz val="10"/>
            <rFont val="Arial"/>
            <family val="2"/>
          </rPr>
          <t>🔴 SIN STOCK
Acción inmediata:
1. Contactar responsable PDV hoy
2. Generar OC de reposición
3. Priorizar si es Jumbo (riesgo pérdida espacio góndola)
4. Actualizar stock_inicial cuando llegue la reposición</t>
        </r>
      </text>
    </comment>
    <comment ref="F24" authorId="0" shapeId="0" xr:uid="{00000000-0006-0000-0300-000015000000}">
      <text>
        <r>
          <rPr>
            <sz val="10"/>
            <rFont val="Arial"/>
            <family val="2"/>
          </rPr>
          <t>Stock Inicial
Editar cuando llegue una reposición.
Sumar al valor anterior o reemplazar con el nuevo total.</t>
        </r>
      </text>
    </comment>
    <comment ref="I24" authorId="0" shapeId="0" xr:uid="{00000000-0006-0000-0300-00002C000000}">
      <text>
        <r>
          <rPr>
            <sz val="10"/>
            <rFont val="Arial"/>
            <family val="2"/>
          </rPr>
          <t>Stock Mínimo
Umbral de alerta. Regla recomendada:
• Jumbo: 15-20 uds (1 semana de venta)
• Especializado: 8-10 uds
• Otros: 4-6 uds</t>
        </r>
      </text>
    </comment>
    <comment ref="J24" authorId="0" shapeId="0" xr:uid="{00000000-0006-0000-0300-000043000000}">
      <text>
        <r>
          <rPr>
            <sz val="10"/>
            <rFont val="Arial"/>
            <family val="2"/>
          </rPr>
          <t>Rotación = Sell-out ÷ Sell-in
• Sell-out disponible: Jumbo (EDI Cencosud)
• Otros canales: ingresar estimado en VENTAS col H
• &lt;50% por 3 semanas = acción urgente
• 'Sin dato' = no se ha registrado sell-out</t>
        </r>
      </text>
    </comment>
    <comment ref="K24" authorId="0" shapeId="0" xr:uid="{00000000-0006-0000-0300-00005B000000}">
      <text>
        <r>
          <rPr>
            <sz val="10"/>
            <rFont val="Arial"/>
            <family val="2"/>
          </rPr>
          <t>🔴 SIN STOCK
Acción inmediata:
1. Contactar responsable PDV hoy
2. Generar OC de reposición
3. Priorizar si es Jumbo (riesgo pérdida espacio góndola)
4. Actualizar stock_inicial cuando llegue la reposición</t>
        </r>
      </text>
    </comment>
    <comment ref="F25" authorId="0" shapeId="0" xr:uid="{00000000-0006-0000-0300-000016000000}">
      <text>
        <r>
          <rPr>
            <sz val="10"/>
            <rFont val="Arial"/>
            <family val="2"/>
          </rPr>
          <t>Stock Inicial
Editar cuando llegue una reposición.
Sumar al valor anterior o reemplazar con el nuevo total.</t>
        </r>
      </text>
    </comment>
    <comment ref="I25" authorId="0" shapeId="0" xr:uid="{00000000-0006-0000-0300-00002D000000}">
      <text>
        <r>
          <rPr>
            <sz val="10"/>
            <rFont val="Arial"/>
            <family val="2"/>
          </rPr>
          <t>Stock Mínimo
Umbral de alerta. Regla recomendada:
• Jumbo: 15-20 uds (1 semana de venta)
• Especializado: 8-10 uds
• Otros: 4-6 uds</t>
        </r>
      </text>
    </comment>
    <comment ref="J25" authorId="0" shapeId="0" xr:uid="{00000000-0006-0000-0300-000044000000}">
      <text>
        <r>
          <rPr>
            <sz val="10"/>
            <rFont val="Arial"/>
            <family val="2"/>
          </rPr>
          <t>Rotación = Sell-out ÷ Sell-in
• Sell-out disponible: Jumbo (EDI Cencosud)
• Otros canales: ingresar estimado en VENTAS col H
• &lt;50% por 3 semanas = acción urgente
• 'Sin dato' = no se ha registrado sell-out</t>
        </r>
      </text>
    </comment>
    <comment ref="K25" authorId="0" shapeId="0" xr:uid="{00000000-0006-0000-0300-00005C000000}">
      <text>
        <r>
          <rPr>
            <sz val="10"/>
            <rFont val="Arial"/>
            <family val="2"/>
          </rPr>
          <t>🔴 SIN STOCK
Acción inmediata:
1. Contactar responsable PDV hoy
2. Generar OC de reposición
3. Priorizar si es Jumbo (riesgo pérdida espacio góndola)
4. Actualizar stock_inicial cuando llegue la reposición</t>
        </r>
      </text>
    </comment>
    <comment ref="F26" authorId="0" shapeId="0" xr:uid="{00000000-0006-0000-0300-000017000000}">
      <text>
        <r>
          <rPr>
            <sz val="10"/>
            <rFont val="Arial"/>
            <family val="2"/>
          </rPr>
          <t>Stock Inicial
Editar cuando llegue una reposición.
Sumar al valor anterior o reemplazar con el nuevo total.</t>
        </r>
      </text>
    </comment>
    <comment ref="I26" authorId="0" shapeId="0" xr:uid="{00000000-0006-0000-0300-00002E000000}">
      <text>
        <r>
          <rPr>
            <sz val="10"/>
            <rFont val="Arial"/>
            <family val="2"/>
          </rPr>
          <t>Stock Mínimo
Umbral de alerta. Regla recomendada:
• Jumbo: 15-20 uds (1 semana de venta)
• Especializado: 8-10 uds
• Otros: 4-6 uds</t>
        </r>
      </text>
    </comment>
    <comment ref="J26" authorId="0" shapeId="0" xr:uid="{00000000-0006-0000-0300-000045000000}">
      <text>
        <r>
          <rPr>
            <sz val="10"/>
            <rFont val="Arial"/>
            <family val="2"/>
          </rPr>
          <t>Rotación = Sell-out ÷ Sell-in
• Sell-out disponible: Jumbo (EDI Cencosud)
• Otros canales: ingresar estimado en VENTAS col H
• &lt;50% por 3 semanas = acción urgente
• 'Sin dato' = no se ha registrado sell-out</t>
        </r>
      </text>
    </comment>
    <comment ref="K26" authorId="0" shapeId="0" xr:uid="{00000000-0006-0000-0300-00005D000000}">
      <text>
        <r>
          <rPr>
            <sz val="10"/>
            <rFont val="Arial"/>
            <family val="2"/>
          </rPr>
          <t>🔴 SIN STOCK
Acción inmediata:
1. Contactar responsable PDV hoy
2. Generar OC de reposición
3. Priorizar si es Jumbo (riesgo pérdida espacio góndola)
4. Actualizar stock_inicial cuando llegue la reposición</t>
        </r>
      </text>
    </comment>
  </commentList>
</comments>
</file>

<file path=xl/sharedStrings.xml><?xml version="1.0" encoding="utf-8"?>
<sst xmlns="http://schemas.openxmlformats.org/spreadsheetml/2006/main" count="705" uniqueCount="291">
  <si>
    <t>🎯  NUVA OXI — Panel Operacional 2026  |  Filtrar col A=Segmento · B=Cadena · C=SubCanal</t>
  </si>
  <si>
    <t>💡  AZUL = ingresar manualmente  |  NEGRO = fórmula automática  |  VERDE = jalado desde otra hoja  |  Metas en fila 5 — editarlas aquí directamente</t>
  </si>
  <si>
    <t>Ventas
Neto ($)</t>
  </si>
  <si>
    <t>Margen
Aprox. ($)</t>
  </si>
  <si>
    <t>Uds
Vendidas</t>
  </si>
  <si>
    <t>CxC
Pendiente ($)</t>
  </si>
  <si>
    <t>PDVs
Activos</t>
  </si>
  <si>
    <t>Stock
Alertas 🔴</t>
  </si>
  <si>
    <t>⚠️  Jumbo: reunión pendiente confirmación definitiva. Costo $250 NO validado — margen aprox. NO real. Sell-out disponible solo para Jumbo (EDI Cencosud).</t>
  </si>
  <si>
    <t>IDENTIFICACIÓN PDV</t>
  </si>
  <si>
    <t>METAS MENSUALES (uds)  ←  EDITAR AQUÍ DIRECTAMENTE</t>
  </si>
  <si>
    <t>RESULTADOS ACUMULADOS</t>
  </si>
  <si>
    <t>OPERACIONAL</t>
  </si>
  <si>
    <t>Segmento</t>
  </si>
  <si>
    <t>Cadena</t>
  </si>
  <si>
    <t>Sub
Canal</t>
  </si>
  <si>
    <t>ID</t>
  </si>
  <si>
    <t>Nombre PDV</t>
  </si>
  <si>
    <t>Resp</t>
  </si>
  <si>
    <t>Estado</t>
  </si>
  <si>
    <t>Meta
Ene</t>
  </si>
  <si>
    <t>Meta
Feb</t>
  </si>
  <si>
    <t>Meta
Mar</t>
  </si>
  <si>
    <t>Meta
Abr</t>
  </si>
  <si>
    <t>Meta
May</t>
  </si>
  <si>
    <t>Meta
Jun</t>
  </si>
  <si>
    <t>Meta
Jul</t>
  </si>
  <si>
    <t>Meta
Ago</t>
  </si>
  <si>
    <t>Meta
Sep</t>
  </si>
  <si>
    <t>Meta
Oct</t>
  </si>
  <si>
    <t>Meta
Nov</t>
  </si>
  <si>
    <t>Meta
Dic</t>
  </si>
  <si>
    <t>Vtas
Acum. ($)</t>
  </si>
  <si>
    <t>Semáforo
Meta</t>
  </si>
  <si>
    <t>Últ.
Visita</t>
  </si>
  <si>
    <t>Estado
Stock</t>
  </si>
  <si>
    <t>Retail Moderno</t>
  </si>
  <si>
    <t>Cencosud</t>
  </si>
  <si>
    <t>Jumbo</t>
  </si>
  <si>
    <t>J001</t>
  </si>
  <si>
    <t>Jumbo Parque Arauco</t>
  </si>
  <si>
    <t>JI</t>
  </si>
  <si>
    <t>Activo</t>
  </si>
  <si>
    <t>J002</t>
  </si>
  <si>
    <t>Jumbo Costanera Center</t>
  </si>
  <si>
    <t>J003</t>
  </si>
  <si>
    <t>Jumbo Mall Vespucio</t>
  </si>
  <si>
    <t>Ana</t>
  </si>
  <si>
    <t>J004</t>
  </si>
  <si>
    <t>Jumbo Maipú</t>
  </si>
  <si>
    <t>J005</t>
  </si>
  <si>
    <t>Jumbo La Florida</t>
  </si>
  <si>
    <t>J006</t>
  </si>
  <si>
    <t>Jumbo Quilicura</t>
  </si>
  <si>
    <t>J007</t>
  </si>
  <si>
    <t>Jumbo Puente Alto</t>
  </si>
  <si>
    <t>J008</t>
  </si>
  <si>
    <t>Jumbo San Bernardo</t>
  </si>
  <si>
    <t>J009</t>
  </si>
  <si>
    <t>Jumbo Ñuñoa</t>
  </si>
  <si>
    <t>J010</t>
  </si>
  <si>
    <t>Jumbo Macul</t>
  </si>
  <si>
    <t>J011</t>
  </si>
  <si>
    <t>Jumbo Independencia</t>
  </si>
  <si>
    <t>J012</t>
  </si>
  <si>
    <t>Jumbo Las Rejas</t>
  </si>
  <si>
    <t>J013</t>
  </si>
  <si>
    <t>Jumbo Renca</t>
  </si>
  <si>
    <t>J014</t>
  </si>
  <si>
    <t>Jumbo Peñalolén</t>
  </si>
  <si>
    <t>J015</t>
  </si>
  <si>
    <t>Jumbo Pudahuel</t>
  </si>
  <si>
    <t>Canal Especializado</t>
  </si>
  <si>
    <t>Dellanatura</t>
  </si>
  <si>
    <t>D001</t>
  </si>
  <si>
    <t>Dellanatura Las Condes</t>
  </si>
  <si>
    <t>D002</t>
  </si>
  <si>
    <t>Dellanatura Providencia</t>
  </si>
  <si>
    <t>Central Orgánica</t>
  </si>
  <si>
    <t>CO01</t>
  </si>
  <si>
    <t>Central Orgánica Ñuñoa</t>
  </si>
  <si>
    <t>All Nutrition</t>
  </si>
  <si>
    <t>AN01</t>
  </si>
  <si>
    <t>All Nutrition Vitacura</t>
  </si>
  <si>
    <t>Canal Conveniencia</t>
  </si>
  <si>
    <t>Fork</t>
  </si>
  <si>
    <t>F001</t>
  </si>
  <si>
    <t>Fork Apoquindo</t>
  </si>
  <si>
    <t>F002</t>
  </si>
  <si>
    <t>Fork El Bosque</t>
  </si>
  <si>
    <t>Canal Turístico</t>
  </si>
  <si>
    <t>Pirque CDV</t>
  </si>
  <si>
    <t>P001</t>
  </si>
  <si>
    <t>Pirque Centro del Vino</t>
  </si>
  <si>
    <t>HoReCa</t>
  </si>
  <si>
    <t>Ritz-Carlton</t>
  </si>
  <si>
    <t>H001</t>
  </si>
  <si>
    <t>Ritz-Carlton Santiago</t>
  </si>
  <si>
    <t>Prospecto</t>
  </si>
  <si>
    <t>TOTAL PERÍODO</t>
  </si>
  <si>
    <t>➕ AGREGAR PDV: insertar fila en esta tabla, completar cols A-G y metas H-S. Las fórmulas T,U,V,X se copian solos. ⚠️ Las celdas de meta en 0 aparecen grises = canal inactivo ese mes (editar si cambia la fecha de entrada).</t>
  </si>
  <si>
    <t>⚙️  CONFIG — Parámetros del Modelo 2026  |  Solo editar celdas AZUL</t>
  </si>
  <si>
    <t>▸ Parámetros Globales</t>
  </si>
  <si>
    <t>IVA Chile</t>
  </si>
  <si>
    <t>Tasa IVA aplicada al PVP para calcular precio neto</t>
  </si>
  <si>
    <t>PVP Unitaria (c/IVA)</t>
  </si>
  <si>
    <t>Precio consumidor barra 40g</t>
  </si>
  <si>
    <t>PVP Estuche x4 (c/IVA)</t>
  </si>
  <si>
    <t>Precio consumidor estuche 4 barras</t>
  </si>
  <si>
    <t>Costo Unit. Neto ($)</t>
  </si>
  <si>
    <t>⚠️ SUPUESTO — reemplazar con costo real urgente</t>
  </si>
  <si>
    <t>Año operación</t>
  </si>
  <si>
    <t>Año del modelo</t>
  </si>
  <si>
    <t>⚠️  MARGEN NO REAL: Costo $250 implica margen bruto ~84% sobre PVP neto ($1.597). Inverosímil para alimentos. Actualizar celda B7 con costo real.</t>
  </si>
  <si>
    <t>▸ SKUs  (6 códigos activos — 3 sabores × 2 formatos)</t>
  </si>
  <si>
    <t>Código</t>
  </si>
  <si>
    <t>Descripción</t>
  </si>
  <si>
    <t>Sabor</t>
  </si>
  <si>
    <t>Formato</t>
  </si>
  <si>
    <t>PVP c/IVA</t>
  </si>
  <si>
    <t>PVP Neto</t>
  </si>
  <si>
    <t>SKU-CAC-U</t>
  </si>
  <si>
    <t>Barra Cacao 40g</t>
  </si>
  <si>
    <t>Cacao</t>
  </si>
  <si>
    <t>Unitaria</t>
  </si>
  <si>
    <t>SKU-MAN-U</t>
  </si>
  <si>
    <t>Barra Maní 40g</t>
  </si>
  <si>
    <t>Maní</t>
  </si>
  <si>
    <t>SKU-FRU-U</t>
  </si>
  <si>
    <t>Barra Frutal 40g</t>
  </si>
  <si>
    <t>Frutal</t>
  </si>
  <si>
    <t>SKU-CAC-4</t>
  </si>
  <si>
    <t>Estuche Cacao x4</t>
  </si>
  <si>
    <t>Estuche x4</t>
  </si>
  <si>
    <t>SKU-MAN-4</t>
  </si>
  <si>
    <t>Estuche Maní x4</t>
  </si>
  <si>
    <t>SKU-FRU-4</t>
  </si>
  <si>
    <t>Estuche Frutal x4</t>
  </si>
  <si>
    <t>📋  VENTAS  |  Agregar fila con Tab en última fila — fórmulas se copian solas  |  2026</t>
  </si>
  <si>
    <t>💡  CÓMO USAR: Tab en la última fila de la tabla genera nueva fila automáticamente. Ingresar: Fecha, Segmento, Cadena, ID_PDV, SKU, Sabor, Uds_Vendidas, PVP, Factura, Plazo, Resp.</t>
  </si>
  <si>
    <t>#</t>
  </si>
  <si>
    <t>Fecha</t>
  </si>
  <si>
    <t>ID_PDV</t>
  </si>
  <si>
    <t>Nombre_PDV</t>
  </si>
  <si>
    <t>Uds
Sell-out</t>
  </si>
  <si>
    <t>PVP
c/IVA ($)</t>
  </si>
  <si>
    <t>Venta
Neta ($)</t>
  </si>
  <si>
    <t>Costo
Total ($)</t>
  </si>
  <si>
    <t>Margen
($)</t>
  </si>
  <si>
    <t>Estado
Factura</t>
  </si>
  <si>
    <t>Plazo
(días)</t>
  </si>
  <si>
    <t>Fecha
Vencim.</t>
  </si>
  <si>
    <t>05/01/2026</t>
  </si>
  <si>
    <t>Pagada</t>
  </si>
  <si>
    <t>Ana Barra</t>
  </si>
  <si>
    <t>06/01/2026</t>
  </si>
  <si>
    <t>07/01/2026</t>
  </si>
  <si>
    <t>Emitida</t>
  </si>
  <si>
    <t>José Ignacio</t>
  </si>
  <si>
    <t>09/01/2026</t>
  </si>
  <si>
    <t>12/01/2026</t>
  </si>
  <si>
    <t>TOTAL  (SUBTOTAL — se recalcula al filtrar)</t>
  </si>
  <si>
    <t>📦  INVENTARIO  |  Stock por PDV · Rotación · Alertas de reposición</t>
  </si>
  <si>
    <t>🔴  CONCENTRACIÓN: Jumbo absorbe ~60% del stock. Rotación &lt;50% por 3 semanas = riesgo de retiro de góndola. Stock disponible se descuenta automáticamente desde VENTAS.</t>
  </si>
  <si>
    <t>Stock
Inicial</t>
  </si>
  <si>
    <t>Vendido
Acum.</t>
  </si>
  <si>
    <t>Stock
Disp.</t>
  </si>
  <si>
    <t>Stock
Mínimo</t>
  </si>
  <si>
    <t>Rotación
(so/si)</t>
  </si>
  <si>
    <t>Alerta</t>
  </si>
  <si>
    <t>➕  Agregar PDV: insertar fila en la tabla. Copiar fórmulas G,H,J,K. Stock Inicial y Mínimo: editar en azul. Reposición: sumar al Stock Inicial (no reemplazar si aún queda stock).</t>
  </si>
  <si>
    <t>📊  AVANCE vs META — Por Canal  |  Actualizado automáticamente</t>
  </si>
  <si>
    <t>💡  Este gráfico se actualiza solo cuando registras ventas en VENTAS. El dato de Meta es la suma de metas anuales de cada PDV del segmento.</t>
  </si>
  <si>
    <t>Meta Anual (uds)</t>
  </si>
  <si>
    <t>Vendido (uds)</t>
  </si>
  <si>
    <t>% Cumplimiento</t>
  </si>
  <si>
    <t>🎯  MATERIAL POP Y ACTIVACIONES 2026  |  Filtrable por Canal / Cliente</t>
  </si>
  <si>
    <t>💡  Registrar todo el material asignado y su estado de instalación. El costo total se jalará al DASHBOARD automáticamente.</t>
  </si>
  <si>
    <t>▸ Tipos de Material  (editar costos en col D)</t>
  </si>
  <si>
    <t>Tipo</t>
  </si>
  <si>
    <t>Costo Ref ($)</t>
  </si>
  <si>
    <t>Duración</t>
  </si>
  <si>
    <t>POP-EXH</t>
  </si>
  <si>
    <t>Exhibidor piso</t>
  </si>
  <si>
    <t>Estructura display 60×40cm</t>
  </si>
  <si>
    <t>Permanente</t>
  </si>
  <si>
    <t>POP-STO</t>
  </si>
  <si>
    <t>Stopper góndola</t>
  </si>
  <si>
    <t>Señalética lateral</t>
  </si>
  <si>
    <t>6 meses</t>
  </si>
  <si>
    <t>POP-CEN</t>
  </si>
  <si>
    <t>Cenefa</t>
  </si>
  <si>
    <t>Franja frontal góndola</t>
  </si>
  <si>
    <t>3 meses</t>
  </si>
  <si>
    <t>POP-CAR</t>
  </si>
  <si>
    <t>Cartel precio</t>
  </si>
  <si>
    <t>Tarjeta precio destacado</t>
  </si>
  <si>
    <t>POP-PRO</t>
  </si>
  <si>
    <t>Promotora (día)</t>
  </si>
  <si>
    <t>Activación promotora</t>
  </si>
  <si>
    <t>1 día</t>
  </si>
  <si>
    <t>POP-DEG</t>
  </si>
  <si>
    <t>Degustación</t>
  </si>
  <si>
    <t>Kit muestras + insumos</t>
  </si>
  <si>
    <t>POP-SEÑ</t>
  </si>
  <si>
    <t>Señalética vitrina</t>
  </si>
  <si>
    <t>Vinilo adhesivo</t>
  </si>
  <si>
    <t>12 meses</t>
  </si>
  <si>
    <t>▸ Registro de Activaciones  |  Agregar fila dentro de la tabla</t>
  </si>
  <si>
    <t>Canal</t>
  </si>
  <si>
    <t>Cliente</t>
  </si>
  <si>
    <t>Tipo_Mat</t>
  </si>
  <si>
    <t>Fecha_Prog</t>
  </si>
  <si>
    <t>Fecha_Ejec</t>
  </si>
  <si>
    <t>Cant_Asig</t>
  </si>
  <si>
    <t>Cant_Inst</t>
  </si>
  <si>
    <t>Pct_Inst</t>
  </si>
  <si>
    <t>Costo_Unit ($)</t>
  </si>
  <si>
    <t>Costo_Total ($)</t>
  </si>
  <si>
    <t>Resultado</t>
  </si>
  <si>
    <t>Pendiente</t>
  </si>
  <si>
    <t>Degustación apertura</t>
  </si>
  <si>
    <t>Cenefa lineal nutrición</t>
  </si>
  <si>
    <t>Cartel precio x3</t>
  </si>
  <si>
    <t>01/06/2026</t>
  </si>
  <si>
    <t>Programado</t>
  </si>
  <si>
    <t>Presentación F&amp;B Manager</t>
  </si>
  <si>
    <t>15/10/2026</t>
  </si>
  <si>
    <t>01/10/2026</t>
  </si>
  <si>
    <t>Promotora lanzamiento</t>
  </si>
  <si>
    <t>04/10/2026</t>
  </si>
  <si>
    <t>INVERSIÓN TOTAL POP  (SUBTOTAL — se ajusta al filtrar)</t>
  </si>
  <si>
    <t>📊  DASHBOARD EJECUTIVO 2026  |  CxC Aging · Stock Agotamiento · Rentabilidad</t>
  </si>
  <si>
    <t>Solo lectura — se alimenta automáticamente desde VENTAS, INVENTARIO y POP.</t>
  </si>
  <si>
    <t>CxC
Total Emitida ($)</t>
  </si>
  <si>
    <t>CxC
Vencida ($)</t>
  </si>
  <si>
    <t>Alertas
Stock 🔴</t>
  </si>
  <si>
    <t>▸ CxC Aging — Antigüedad de Cartera Emitida  |  Clave para Jumbo (30 días)</t>
  </si>
  <si>
    <t>⚠️  Jumbo paga 30 días desde despacho. Tramo 31-60 días = cobro en riesgo. &gt;60 días = gestionar urgente con buyer Cencosud.</t>
  </si>
  <si>
    <t>Tramo</t>
  </si>
  <si>
    <t>Criterio</t>
  </si>
  <si>
    <t>Monto CxC ($)</t>
  </si>
  <si>
    <t>N° Movimientos</t>
  </si>
  <si>
    <t>% del Total</t>
  </si>
  <si>
    <t>Acción Recomendada</t>
  </si>
  <si>
    <t>0–15 días</t>
  </si>
  <si>
    <t>Recién emitida</t>
  </si>
  <si>
    <t>Monitorear</t>
  </si>
  <si>
    <t>16–30 días</t>
  </si>
  <si>
    <t>Próxima a vencer</t>
  </si>
  <si>
    <t>Confirmar recepción buyer</t>
  </si>
  <si>
    <t>31–60 días</t>
  </si>
  <si>
    <t>Vencida — gestionar</t>
  </si>
  <si>
    <t>🟡 Contactar buyer</t>
  </si>
  <si>
    <t>+60 días</t>
  </si>
  <si>
    <t>Crítica</t>
  </si>
  <si>
    <t>🔴 Escalar KAM urgente</t>
  </si>
  <si>
    <t>TOTAL CxC EMITIDA</t>
  </si>
  <si>
    <t>▸ Proyección Agotamiento de Stock  |  Semanas disponibles por PDV</t>
  </si>
  <si>
    <t>💡  Semanas disponibles = Stock Disp. ÷ Velocidad de venta (uds/semana). &lt;2 semanas = reponer urgente esta semana.</t>
  </si>
  <si>
    <t>PDV</t>
  </si>
  <si>
    <t>Vel. Venta
(uds/sem)</t>
  </si>
  <si>
    <t>Semanas
Restantes</t>
  </si>
  <si>
    <t>Fecha
Agotamiento</t>
  </si>
  <si>
    <t>▸ Rentabilidad Neta por Canal  |  Margen ajustado por CxC pendiente</t>
  </si>
  <si>
    <t>Ventas ($)</t>
  </si>
  <si>
    <t>Margen Bruto ($)</t>
  </si>
  <si>
    <t>% Margen</t>
  </si>
  <si>
    <t>CxC Pend. ($)</t>
  </si>
  <si>
    <t>Margen Ajust. ($)</t>
  </si>
  <si>
    <t>Plazo Pago</t>
  </si>
  <si>
    <t>Nota</t>
  </si>
  <si>
    <t>30 días</t>
  </si>
  <si>
    <t>Mayor volumen, cobro diferido. Margen real &lt; aparente.</t>
  </si>
  <si>
    <t>Contado</t>
  </si>
  <si>
    <t>Cobro inmediato. Mejor flujo de caja.</t>
  </si>
  <si>
    <t>Ticket bajo, alta rotación. Evaluar margen neto.</t>
  </si>
  <si>
    <t>Mejor canal por caja real. Sin CxC. Priorizar desarrollo.</t>
  </si>
  <si>
    <t>💡  Margen Ajust. = Margen Bruto − CxC pendiente = caja real disponible hoy. HoReCa contado = mejor flujo aunque menor volumen. Jumbo: margen aparente &gt; margen real de caja.</t>
  </si>
  <si>
    <t>la rotacion parece que esta mal calculada</t>
  </si>
  <si>
    <t>me gusto el resumen pero el grafico podria verse por cliente tambien y despues tambien poder evaluar la tendencia que hace el sabor para futuros forecast</t>
  </si>
  <si>
    <t>otra pregunta para hacer es como vamos a seguir si llegamos al 2027 para no perder lectura, solo dime si se podra.</t>
  </si>
  <si>
    <t>y hacer 2 vistas de venta.. Una como la actual y otra que pueda hacer seguimiento de la gestion completa por ejemplo con cencosud, OC, Facturacion, status pago etc.</t>
  </si>
  <si>
    <t>: Arreglar fecha, no me deja copiar y pegar el formato de fecha para que luego se calcule la fecha de vencimiento.</t>
  </si>
  <si>
    <t>estado podria tener tambien mas opciones, como perdido  o stand by</t>
  </si>
  <si>
    <t xml:space="preserve">mencionar que estamos a 06.07.26 y que cuando modifico algo los formatos no me permiten copiar pegar formato. </t>
  </si>
  <si>
    <t>velocidad venta deberia ser uds/sem i uds/mes?</t>
  </si>
  <si>
    <t>deberia ir ingresando en otra parte las condiciones de entrada para cada cliente?</t>
  </si>
  <si>
    <t xml:space="preserve">si pongo vencida en el estado de factura, las acciones en la data estan alineadas? Asegurar que todo este correctamente alineado. </t>
  </si>
  <si>
    <t>voy a cambiar los sku posteriormente y tambien existira un terper precio para la barra unitaria y estuche de 4, unitaria aun nose el valor pero estuch puede ser que este a 6490 y que aveces trabajemos con descuentos de aprox 20-30% durante 30% del año</t>
  </si>
  <si>
    <t>cambiar segmentacion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</si>
</sst>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$#,##0"/>
    <numFmt numFmtId="165" formatCode="dd/mm/yy"/>
    <numFmt numFmtId="166" formatCode="0%;\-0%;&quot;Sin dato&quot;"/>
    <numFmt numFmtId="167" formatCode="0.0%"/>
    <numFmt numFmtId="168" formatCode="0.0"/>
    <numFmt numFmtId="169" formatCode="0.0;\-0.0;&quot;Sin venta&quot;"/>
  </numFmts>
  <fonts count="46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9"/>
      <color rgb="FF6B6B6B"/>
      <name val="Arial"/>
      <charset val="1"/>
    </font>
    <font>
      <b/>
      <sz val="9"/>
      <color rgb="FFFFFFFF"/>
      <name val="Arial"/>
      <charset val="1"/>
    </font>
    <font>
      <b/>
      <sz val="16"/>
      <color rgb="FF7B1C2E"/>
      <name val="Arial"/>
      <charset val="1"/>
    </font>
    <font>
      <b/>
      <sz val="16"/>
      <color rgb="FF1A7A34"/>
      <name val="Arial"/>
      <charset val="1"/>
    </font>
    <font>
      <b/>
      <sz val="16"/>
      <color rgb="FF1A5276"/>
      <name val="Arial"/>
      <charset val="1"/>
    </font>
    <font>
      <b/>
      <sz val="16"/>
      <color rgb="FFD4770A"/>
      <name val="Arial"/>
      <charset val="1"/>
    </font>
    <font>
      <b/>
      <sz val="16"/>
      <color rgb="FF1A6B4A"/>
      <name val="Arial"/>
      <charset val="1"/>
    </font>
    <font>
      <b/>
      <sz val="16"/>
      <color rgb="FFC0392B"/>
      <name val="Arial"/>
      <charset val="1"/>
    </font>
    <font>
      <i/>
      <sz val="9"/>
      <color rgb="FFC0392B"/>
      <name val="Arial"/>
      <charset val="1"/>
    </font>
    <font>
      <b/>
      <sz val="8"/>
      <color rgb="FFFFFFFF"/>
      <name val="Arial"/>
      <charset val="1"/>
    </font>
    <font>
      <sz val="9"/>
      <color rgb="FF2C2C2C"/>
      <name val="Arial"/>
      <charset val="1"/>
    </font>
    <font>
      <b/>
      <sz val="9"/>
      <color rgb="FF1A6B4A"/>
      <name val="Arial"/>
      <charset val="1"/>
    </font>
    <font>
      <b/>
      <sz val="10"/>
      <color rgb="FF0000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sz val="10"/>
      <name val="Arial"/>
      <charset val="1"/>
    </font>
    <font>
      <sz val="9"/>
      <color rgb="FF0000FF"/>
      <name val="Arial"/>
      <charset val="1"/>
    </font>
    <font>
      <b/>
      <sz val="9"/>
      <color rgb="FFE07B00"/>
      <name val="Arial"/>
      <charset val="1"/>
    </font>
    <font>
      <b/>
      <sz val="10"/>
      <color rgb="FFFFFFFF"/>
      <name val="Arial"/>
      <charset val="1"/>
    </font>
    <font>
      <sz val="10"/>
      <name val="Arial"/>
      <family val="2"/>
    </font>
    <font>
      <b/>
      <sz val="10"/>
      <color rgb="FF7B1C2E"/>
      <name val="Arial"/>
      <charset val="1"/>
    </font>
    <font>
      <b/>
      <sz val="10"/>
      <color rgb="FF2C2C2C"/>
      <name val="Arial"/>
      <charset val="1"/>
    </font>
    <font>
      <b/>
      <sz val="11"/>
      <color rgb="FF0000FF"/>
      <name val="Arial"/>
      <charset val="1"/>
    </font>
    <font>
      <sz val="9"/>
      <color rgb="FF6B6B6B"/>
      <name val="Arial"/>
      <charset val="1"/>
    </font>
    <font>
      <sz val="10"/>
      <color rgb="FF2C2C2C"/>
      <name val="Arial"/>
      <charset val="1"/>
    </font>
    <font>
      <i/>
      <sz val="9"/>
      <color rgb="FF7B4F00"/>
      <name val="Arial"/>
      <charset val="1"/>
    </font>
    <font>
      <sz val="10"/>
      <color rgb="FF0000FF"/>
      <name val="Arial"/>
      <charset val="1"/>
    </font>
    <font>
      <sz val="9"/>
      <color rgb="FF008000"/>
      <name val="Arial"/>
      <charset val="1"/>
    </font>
    <font>
      <b/>
      <sz val="9"/>
      <color rgb="FF1A7A34"/>
      <name val="Arial"/>
      <charset val="1"/>
    </font>
    <font>
      <sz val="9"/>
      <color rgb="FF000000"/>
      <name val="Arial"/>
      <charset val="1"/>
    </font>
    <font>
      <b/>
      <sz val="9"/>
      <color rgb="FFD4770A"/>
      <name val="Arial"/>
      <charset val="1"/>
    </font>
    <font>
      <sz val="10"/>
      <color rgb="FF008000"/>
      <name val="Arial"/>
      <charset val="1"/>
    </font>
    <font>
      <sz val="11"/>
      <name val="Arial"/>
      <charset val="1"/>
    </font>
    <font>
      <b/>
      <sz val="9"/>
      <color rgb="FF0000FF"/>
      <name val="Arial"/>
      <charset val="1"/>
    </font>
    <font>
      <b/>
      <sz val="11"/>
      <color rgb="FF000000"/>
      <name val="Arial"/>
      <charset val="1"/>
    </font>
    <font>
      <sz val="11"/>
      <color rgb="FF000000"/>
      <name val="Arial"/>
      <charset val="1"/>
    </font>
    <font>
      <b/>
      <sz val="11"/>
      <color rgb="FFFFFFFF"/>
      <name val="Arial"/>
      <charset val="1"/>
    </font>
    <font>
      <b/>
      <sz val="10"/>
      <color rgb="FF008000"/>
      <name val="Arial"/>
      <charset val="1"/>
    </font>
    <font>
      <sz val="10"/>
      <color rgb="FFD4770A"/>
      <name val="Arial"/>
      <charset val="1"/>
    </font>
    <font>
      <b/>
      <sz val="9"/>
      <color rgb="FFFFFFFF"/>
      <name val="Arial"/>
      <family val="2"/>
    </font>
    <font>
      <sz val="9"/>
      <color rgb="FF2C2C2C"/>
      <name val="Arial"/>
      <family val="2"/>
    </font>
    <font>
      <b/>
      <sz val="11"/>
      <color rgb="FF0000FF"/>
      <name val="Arial"/>
      <family val="2"/>
    </font>
    <font>
      <sz val="10"/>
      <color rgb="FF0000FF"/>
      <name val="Arial"/>
      <family val="2"/>
    </font>
    <font>
      <sz val="8"/>
      <name val="Calibri"/>
      <family val="2"/>
      <charset val="1"/>
    </font>
  </fonts>
  <fills count="22">
    <fill>
      <patternFill patternType="none"/>
    </fill>
    <fill>
      <patternFill patternType="gray125"/>
    </fill>
    <fill>
      <patternFill patternType="solid">
        <fgColor rgb="FF7B1C2E"/>
        <bgColor rgb="FF5B2333"/>
      </patternFill>
    </fill>
    <fill>
      <patternFill patternType="solid">
        <fgColor rgb="FF3A3A3A"/>
        <bgColor rgb="FF2C2C2C"/>
      </patternFill>
    </fill>
    <fill>
      <patternFill patternType="solid">
        <fgColor rgb="FFF5F0E8"/>
        <bgColor rgb="FFF9F4EE"/>
      </patternFill>
    </fill>
    <fill>
      <patternFill patternType="solid">
        <fgColor rgb="FFFDECEA"/>
        <bgColor rgb="FFF5F0E8"/>
      </patternFill>
    </fill>
    <fill>
      <patternFill patternType="solid">
        <fgColor rgb="FF5B2333"/>
        <bgColor rgb="FF7B1C2E"/>
      </patternFill>
    </fill>
    <fill>
      <patternFill patternType="solid">
        <fgColor rgb="FF1A3A5C"/>
        <bgColor rgb="FF1A5276"/>
      </patternFill>
    </fill>
    <fill>
      <patternFill patternType="solid">
        <fgColor rgb="FF2C2C2C"/>
        <bgColor rgb="FF3A3A3A"/>
      </patternFill>
    </fill>
    <fill>
      <patternFill patternType="solid">
        <fgColor rgb="FFF9F4EE"/>
        <bgColor rgb="FFF5F5F5"/>
      </patternFill>
    </fill>
    <fill>
      <patternFill patternType="solid">
        <fgColor rgb="FFF5F5F5"/>
        <bgColor rgb="FFF9F4EE"/>
      </patternFill>
    </fill>
    <fill>
      <patternFill patternType="solid">
        <fgColor rgb="FFEEF4FF"/>
        <bgColor rgb="FFF5F5F5"/>
      </patternFill>
    </fill>
    <fill>
      <patternFill patternType="solid">
        <fgColor rgb="FFFFFFFF"/>
        <bgColor rgb="FFF9F9F9"/>
      </patternFill>
    </fill>
    <fill>
      <patternFill patternType="solid">
        <fgColor rgb="FF1A5276"/>
        <bgColor rgb="FF1A3A5C"/>
      </patternFill>
    </fill>
    <fill>
      <patternFill patternType="solid">
        <fgColor rgb="FF7D6608"/>
        <bgColor rgb="FF7B4F00"/>
      </patternFill>
    </fill>
    <fill>
      <patternFill patternType="solid">
        <fgColor rgb="FF1A6B4A"/>
        <bgColor rgb="FF1A7A34"/>
      </patternFill>
    </fill>
    <fill>
      <patternFill patternType="solid">
        <fgColor rgb="FF6C3483"/>
        <bgColor rgb="FF5B2333"/>
      </patternFill>
    </fill>
    <fill>
      <patternFill patternType="solid">
        <fgColor rgb="FFFFF3CD"/>
        <bgColor rgb="FFFFF9C4"/>
      </patternFill>
    </fill>
    <fill>
      <patternFill patternType="solid">
        <fgColor rgb="FFD5F5E3"/>
        <bgColor rgb="FFEEF4FF"/>
      </patternFill>
    </fill>
    <fill>
      <patternFill patternType="solid">
        <fgColor rgb="FFFFF9C4"/>
        <bgColor rgb="FFFFF3CD"/>
      </patternFill>
    </fill>
    <fill>
      <patternFill patternType="solid">
        <fgColor rgb="FFFFE0B2"/>
        <bgColor rgb="FFFFF3CD"/>
      </patternFill>
    </fill>
    <fill>
      <patternFill patternType="solid">
        <fgColor rgb="FFFFCDD2"/>
        <bgColor rgb="FFFFE0B2"/>
      </patternFill>
    </fill>
  </fills>
  <borders count="12">
    <border>
      <left/>
      <right/>
      <top/>
      <bottom/>
      <diagonal/>
    </border>
    <border>
      <left style="thin">
        <color rgb="FF888888"/>
      </left>
      <right/>
      <top style="thin">
        <color rgb="FF888888"/>
      </top>
      <bottom style="thin">
        <color rgb="FF888888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medium">
        <color rgb="FFC0392B"/>
      </left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medium">
        <color rgb="FF7B1C2E"/>
      </left>
      <right/>
      <top/>
      <bottom style="thin">
        <color rgb="FFCCCCCC"/>
      </bottom>
      <diagonal/>
    </border>
    <border>
      <left style="medium">
        <color rgb="FFD4770A"/>
      </left>
      <right/>
      <top/>
      <bottom/>
      <diagonal/>
    </border>
    <border>
      <left style="thin">
        <color rgb="FFAAAAAA"/>
      </left>
      <right/>
      <top style="thin">
        <color rgb="FFAAAAAA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130">
    <xf numFmtId="0" fontId="0" fillId="0" borderId="0" xfId="0"/>
    <xf numFmtId="0" fontId="20" fillId="2" borderId="1" xfId="0" applyFont="1" applyFill="1" applyBorder="1" applyAlignment="1">
      <alignment horizontal="right" vertical="center"/>
    </xf>
    <xf numFmtId="0" fontId="3" fillId="7" borderId="4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left" vertical="center"/>
    </xf>
    <xf numFmtId="3" fontId="9" fillId="4" borderId="2" xfId="0" applyNumberFormat="1" applyFont="1" applyFill="1" applyBorder="1" applyAlignment="1">
      <alignment horizontal="center" vertical="center"/>
    </xf>
    <xf numFmtId="3" fontId="8" fillId="4" borderId="2" xfId="0" applyNumberFormat="1" applyFont="1" applyFill="1" applyBorder="1" applyAlignment="1">
      <alignment horizontal="center" vertical="center"/>
    </xf>
    <xf numFmtId="164" fontId="7" fillId="4" borderId="2" xfId="0" applyNumberFormat="1" applyFont="1" applyFill="1" applyBorder="1" applyAlignment="1">
      <alignment horizontal="center" vertical="center"/>
    </xf>
    <xf numFmtId="3" fontId="6" fillId="4" borderId="2" xfId="0" applyNumberFormat="1" applyFont="1" applyFill="1" applyBorder="1" applyAlignment="1">
      <alignment horizontal="center" vertical="center"/>
    </xf>
    <xf numFmtId="164" fontId="5" fillId="4" borderId="2" xfId="0" applyNumberFormat="1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1" fillId="8" borderId="5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 wrapText="1"/>
    </xf>
    <xf numFmtId="0" fontId="11" fillId="7" borderId="5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left" vertical="center"/>
    </xf>
    <xf numFmtId="0" fontId="12" fillId="9" borderId="6" xfId="0" applyFont="1" applyFill="1" applyBorder="1" applyAlignment="1">
      <alignment horizontal="left" vertical="center"/>
    </xf>
    <xf numFmtId="0" fontId="12" fillId="9" borderId="6" xfId="0" applyFont="1" applyFill="1" applyBorder="1" applyAlignment="1">
      <alignment horizontal="center" vertical="center"/>
    </xf>
    <xf numFmtId="0" fontId="13" fillId="9" borderId="6" xfId="0" applyFont="1" applyFill="1" applyBorder="1" applyAlignment="1">
      <alignment horizontal="center" vertical="center"/>
    </xf>
    <xf numFmtId="3" fontId="2" fillId="10" borderId="6" xfId="0" applyNumberFormat="1" applyFont="1" applyFill="1" applyBorder="1" applyAlignment="1">
      <alignment horizontal="center" vertical="center"/>
    </xf>
    <xf numFmtId="3" fontId="14" fillId="11" borderId="6" xfId="0" applyNumberFormat="1" applyFont="1" applyFill="1" applyBorder="1" applyAlignment="1">
      <alignment horizontal="center" vertical="center"/>
    </xf>
    <xf numFmtId="164" fontId="15" fillId="9" borderId="6" xfId="0" applyNumberFormat="1" applyFont="1" applyFill="1" applyBorder="1" applyAlignment="1">
      <alignment horizontal="right" vertical="center"/>
    </xf>
    <xf numFmtId="3" fontId="16" fillId="9" borderId="6" xfId="0" applyNumberFormat="1" applyFont="1" applyFill="1" applyBorder="1" applyAlignment="1">
      <alignment horizontal="center" vertical="center"/>
    </xf>
    <xf numFmtId="0" fontId="17" fillId="9" borderId="6" xfId="0" applyFont="1" applyFill="1" applyBorder="1" applyAlignment="1">
      <alignment horizontal="center" vertical="center"/>
    </xf>
    <xf numFmtId="165" fontId="18" fillId="11" borderId="6" xfId="0" applyNumberFormat="1" applyFont="1" applyFill="1" applyBorder="1" applyAlignment="1">
      <alignment horizontal="center" vertical="center"/>
    </xf>
    <xf numFmtId="0" fontId="12" fillId="12" borderId="6" xfId="0" applyFont="1" applyFill="1" applyBorder="1" applyAlignment="1">
      <alignment horizontal="left" vertical="center"/>
    </xf>
    <xf numFmtId="0" fontId="12" fillId="12" borderId="6" xfId="0" applyFont="1" applyFill="1" applyBorder="1" applyAlignment="1">
      <alignment horizontal="center" vertical="center"/>
    </xf>
    <xf numFmtId="0" fontId="13" fillId="12" borderId="6" xfId="0" applyFont="1" applyFill="1" applyBorder="1" applyAlignment="1">
      <alignment horizontal="center" vertical="center"/>
    </xf>
    <xf numFmtId="164" fontId="15" fillId="12" borderId="6" xfId="0" applyNumberFormat="1" applyFont="1" applyFill="1" applyBorder="1" applyAlignment="1">
      <alignment horizontal="right" vertical="center"/>
    </xf>
    <xf numFmtId="3" fontId="16" fillId="12" borderId="6" xfId="0" applyNumberFormat="1" applyFont="1" applyFill="1" applyBorder="1" applyAlignment="1">
      <alignment horizontal="center" vertical="center"/>
    </xf>
    <xf numFmtId="0" fontId="17" fillId="12" borderId="6" xfId="0" applyFont="1" applyFill="1" applyBorder="1" applyAlignment="1">
      <alignment horizontal="center" vertical="center"/>
    </xf>
    <xf numFmtId="0" fontId="3" fillId="13" borderId="6" xfId="0" applyFont="1" applyFill="1" applyBorder="1" applyAlignment="1">
      <alignment horizontal="left" vertical="center"/>
    </xf>
    <xf numFmtId="0" fontId="3" fillId="14" borderId="6" xfId="0" applyFont="1" applyFill="1" applyBorder="1" applyAlignment="1">
      <alignment horizontal="left" vertical="center"/>
    </xf>
    <xf numFmtId="0" fontId="3" fillId="15" borderId="6" xfId="0" applyFont="1" applyFill="1" applyBorder="1" applyAlignment="1">
      <alignment horizontal="left" vertical="center"/>
    </xf>
    <xf numFmtId="0" fontId="3" fillId="16" borderId="6" xfId="0" applyFont="1" applyFill="1" applyBorder="1" applyAlignment="1">
      <alignment horizontal="left" vertical="center"/>
    </xf>
    <xf numFmtId="0" fontId="19" fillId="9" borderId="6" xfId="0" applyFont="1" applyFill="1" applyBorder="1" applyAlignment="1">
      <alignment horizontal="center" vertical="center"/>
    </xf>
    <xf numFmtId="164" fontId="20" fillId="2" borderId="7" xfId="0" applyNumberFormat="1" applyFont="1" applyFill="1" applyBorder="1" applyAlignment="1">
      <alignment horizontal="right" vertical="center"/>
    </xf>
    <xf numFmtId="3" fontId="20" fillId="2" borderId="7" xfId="0" applyNumberFormat="1" applyFont="1" applyFill="1" applyBorder="1" applyAlignment="1">
      <alignment horizontal="center" vertical="center"/>
    </xf>
    <xf numFmtId="0" fontId="0" fillId="2" borderId="7" xfId="0" applyFill="1" applyBorder="1"/>
    <xf numFmtId="0" fontId="23" fillId="4" borderId="6" xfId="0" applyFont="1" applyFill="1" applyBorder="1" applyAlignment="1">
      <alignment horizontal="left" vertical="center"/>
    </xf>
    <xf numFmtId="9" fontId="24" fillId="11" borderId="6" xfId="0" applyNumberFormat="1" applyFont="1" applyFill="1" applyBorder="1" applyAlignment="1">
      <alignment horizontal="center" vertical="center"/>
    </xf>
    <xf numFmtId="164" fontId="24" fillId="11" borderId="6" xfId="0" applyNumberFormat="1" applyFont="1" applyFill="1" applyBorder="1" applyAlignment="1">
      <alignment horizontal="center" vertical="center"/>
    </xf>
    <xf numFmtId="1" fontId="24" fillId="11" borderId="6" xfId="0" applyNumberFormat="1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 wrapText="1"/>
    </xf>
    <xf numFmtId="0" fontId="26" fillId="12" borderId="6" xfId="0" applyFont="1" applyFill="1" applyBorder="1" applyAlignment="1">
      <alignment horizontal="left" vertical="center"/>
    </xf>
    <xf numFmtId="164" fontId="16" fillId="12" borderId="6" xfId="0" applyNumberFormat="1" applyFont="1" applyFill="1" applyBorder="1" applyAlignment="1">
      <alignment horizontal="right" vertical="center"/>
    </xf>
    <xf numFmtId="0" fontId="26" fillId="9" borderId="6" xfId="0" applyFont="1" applyFill="1" applyBorder="1" applyAlignment="1">
      <alignment horizontal="left" vertical="center"/>
    </xf>
    <xf numFmtId="164" fontId="16" fillId="9" borderId="6" xfId="0" applyNumberFormat="1" applyFont="1" applyFill="1" applyBorder="1" applyAlignment="1">
      <alignment horizontal="right" vertical="center"/>
    </xf>
    <xf numFmtId="0" fontId="3" fillId="2" borderId="5" xfId="0" applyFont="1" applyFill="1" applyBorder="1" applyAlignment="1">
      <alignment horizontal="center" vertical="center" wrapText="1"/>
    </xf>
    <xf numFmtId="3" fontId="24" fillId="11" borderId="6" xfId="0" applyNumberFormat="1" applyFont="1" applyFill="1" applyBorder="1" applyAlignment="1">
      <alignment horizontal="center" vertical="center"/>
    </xf>
    <xf numFmtId="3" fontId="28" fillId="11" borderId="6" xfId="0" applyNumberFormat="1" applyFont="1" applyFill="1" applyBorder="1" applyAlignment="1">
      <alignment horizontal="center" vertical="center"/>
    </xf>
    <xf numFmtId="164" fontId="28" fillId="11" borderId="6" xfId="0" applyNumberFormat="1" applyFont="1" applyFill="1" applyBorder="1" applyAlignment="1">
      <alignment horizontal="right" vertical="center"/>
    </xf>
    <xf numFmtId="164" fontId="29" fillId="9" borderId="6" xfId="0" applyNumberFormat="1" applyFont="1" applyFill="1" applyBorder="1" applyAlignment="1">
      <alignment horizontal="right" vertical="center"/>
    </xf>
    <xf numFmtId="0" fontId="30" fillId="9" borderId="6" xfId="0" applyFont="1" applyFill="1" applyBorder="1" applyAlignment="1">
      <alignment horizontal="center" vertical="center"/>
    </xf>
    <xf numFmtId="0" fontId="18" fillId="11" borderId="6" xfId="0" applyFont="1" applyFill="1" applyBorder="1" applyAlignment="1">
      <alignment horizontal="center" vertical="center"/>
    </xf>
    <xf numFmtId="165" fontId="31" fillId="9" borderId="6" xfId="0" applyNumberFormat="1" applyFont="1" applyFill="1" applyBorder="1" applyAlignment="1">
      <alignment horizontal="center" vertical="center"/>
    </xf>
    <xf numFmtId="164" fontId="29" fillId="12" borderId="6" xfId="0" applyNumberFormat="1" applyFont="1" applyFill="1" applyBorder="1" applyAlignment="1">
      <alignment horizontal="right" vertical="center"/>
    </xf>
    <xf numFmtId="0" fontId="30" fillId="12" borderId="6" xfId="0" applyFont="1" applyFill="1" applyBorder="1" applyAlignment="1">
      <alignment horizontal="center" vertical="center"/>
    </xf>
    <xf numFmtId="165" fontId="31" fillId="12" borderId="6" xfId="0" applyNumberFormat="1" applyFont="1" applyFill="1" applyBorder="1" applyAlignment="1">
      <alignment horizontal="center" vertical="center"/>
    </xf>
    <xf numFmtId="0" fontId="32" fillId="9" borderId="6" xfId="0" applyFont="1" applyFill="1" applyBorder="1" applyAlignment="1">
      <alignment horizontal="center" vertical="center"/>
    </xf>
    <xf numFmtId="3" fontId="33" fillId="9" borderId="6" xfId="0" applyNumberFormat="1" applyFont="1" applyFill="1" applyBorder="1" applyAlignment="1">
      <alignment horizontal="center" vertical="center"/>
    </xf>
    <xf numFmtId="3" fontId="15" fillId="9" borderId="6" xfId="0" applyNumberFormat="1" applyFont="1" applyFill="1" applyBorder="1" applyAlignment="1">
      <alignment horizontal="center" vertical="center"/>
    </xf>
    <xf numFmtId="166" fontId="15" fillId="9" borderId="6" xfId="0" applyNumberFormat="1" applyFont="1" applyFill="1" applyBorder="1" applyAlignment="1">
      <alignment horizontal="center" vertical="center"/>
    </xf>
    <xf numFmtId="0" fontId="34" fillId="9" borderId="6" xfId="0" applyFont="1" applyFill="1" applyBorder="1" applyAlignment="1">
      <alignment horizontal="center" vertical="center"/>
    </xf>
    <xf numFmtId="3" fontId="33" fillId="12" borderId="6" xfId="0" applyNumberFormat="1" applyFont="1" applyFill="1" applyBorder="1" applyAlignment="1">
      <alignment horizontal="center" vertical="center"/>
    </xf>
    <xf numFmtId="3" fontId="15" fillId="12" borderId="6" xfId="0" applyNumberFormat="1" applyFont="1" applyFill="1" applyBorder="1" applyAlignment="1">
      <alignment horizontal="center" vertical="center"/>
    </xf>
    <xf numFmtId="166" fontId="15" fillId="12" borderId="6" xfId="0" applyNumberFormat="1" applyFont="1" applyFill="1" applyBorder="1" applyAlignment="1">
      <alignment horizontal="center" vertical="center"/>
    </xf>
    <xf numFmtId="0" fontId="34" fillId="12" borderId="6" xfId="0" applyFont="1" applyFill="1" applyBorder="1" applyAlignment="1">
      <alignment horizontal="center" vertical="center"/>
    </xf>
    <xf numFmtId="0" fontId="20" fillId="2" borderId="6" xfId="0" applyFont="1" applyFill="1" applyBorder="1" applyAlignment="1">
      <alignment horizontal="left" vertical="center"/>
    </xf>
    <xf numFmtId="167" fontId="15" fillId="12" borderId="6" xfId="0" applyNumberFormat="1" applyFont="1" applyFill="1" applyBorder="1" applyAlignment="1">
      <alignment horizontal="center" vertical="center"/>
    </xf>
    <xf numFmtId="0" fontId="20" fillId="13" borderId="6" xfId="0" applyFont="1" applyFill="1" applyBorder="1" applyAlignment="1">
      <alignment horizontal="left" vertical="center"/>
    </xf>
    <xf numFmtId="167" fontId="15" fillId="9" borderId="6" xfId="0" applyNumberFormat="1" applyFont="1" applyFill="1" applyBorder="1" applyAlignment="1">
      <alignment horizontal="center" vertical="center"/>
    </xf>
    <xf numFmtId="0" fontId="20" fillId="14" borderId="6" xfId="0" applyFont="1" applyFill="1" applyBorder="1" applyAlignment="1">
      <alignment horizontal="left" vertical="center"/>
    </xf>
    <xf numFmtId="0" fontId="20" fillId="15" borderId="6" xfId="0" applyFont="1" applyFill="1" applyBorder="1" applyAlignment="1">
      <alignment horizontal="left" vertical="center"/>
    </xf>
    <xf numFmtId="0" fontId="20" fillId="16" borderId="6" xfId="0" applyFont="1" applyFill="1" applyBorder="1" applyAlignment="1">
      <alignment horizontal="left" vertical="center"/>
    </xf>
    <xf numFmtId="0" fontId="35" fillId="11" borderId="6" xfId="0" applyFont="1" applyFill="1" applyBorder="1" applyAlignment="1">
      <alignment horizontal="left" vertical="center"/>
    </xf>
    <xf numFmtId="9" fontId="31" fillId="9" borderId="6" xfId="0" applyNumberFormat="1" applyFont="1" applyFill="1" applyBorder="1" applyAlignment="1">
      <alignment horizontal="center" vertical="center"/>
    </xf>
    <xf numFmtId="0" fontId="12" fillId="9" borderId="6" xfId="0" applyFont="1" applyFill="1" applyBorder="1" applyAlignment="1">
      <alignment horizontal="left" vertical="center" wrapText="1"/>
    </xf>
    <xf numFmtId="9" fontId="31" fillId="12" borderId="6" xfId="0" applyNumberFormat="1" applyFont="1" applyFill="1" applyBorder="1" applyAlignment="1">
      <alignment horizontal="center" vertical="center"/>
    </xf>
    <xf numFmtId="0" fontId="12" fillId="12" borderId="6" xfId="0" applyFont="1" applyFill="1" applyBorder="1" applyAlignment="1">
      <alignment horizontal="left" vertical="center" wrapText="1"/>
    </xf>
    <xf numFmtId="0" fontId="23" fillId="18" borderId="6" xfId="0" applyFont="1" applyFill="1" applyBorder="1" applyAlignment="1">
      <alignment horizontal="left" vertical="center"/>
    </xf>
    <xf numFmtId="0" fontId="12" fillId="18" borderId="6" xfId="0" applyFont="1" applyFill="1" applyBorder="1" applyAlignment="1">
      <alignment horizontal="left" vertical="center"/>
    </xf>
    <xf numFmtId="164" fontId="36" fillId="18" borderId="6" xfId="0" applyNumberFormat="1" applyFont="1" applyFill="1" applyBorder="1" applyAlignment="1">
      <alignment horizontal="right" vertical="center"/>
    </xf>
    <xf numFmtId="3" fontId="37" fillId="18" borderId="6" xfId="0" applyNumberFormat="1" applyFont="1" applyFill="1" applyBorder="1" applyAlignment="1">
      <alignment horizontal="center" vertical="center"/>
    </xf>
    <xf numFmtId="0" fontId="23" fillId="19" borderId="6" xfId="0" applyFont="1" applyFill="1" applyBorder="1" applyAlignment="1">
      <alignment horizontal="left" vertical="center"/>
    </xf>
    <xf numFmtId="0" fontId="12" fillId="19" borderId="6" xfId="0" applyFont="1" applyFill="1" applyBorder="1" applyAlignment="1">
      <alignment horizontal="left" vertical="center"/>
    </xf>
    <xf numFmtId="164" fontId="36" fillId="19" borderId="6" xfId="0" applyNumberFormat="1" applyFont="1" applyFill="1" applyBorder="1" applyAlignment="1">
      <alignment horizontal="right" vertical="center"/>
    </xf>
    <xf numFmtId="3" fontId="37" fillId="19" borderId="6" xfId="0" applyNumberFormat="1" applyFont="1" applyFill="1" applyBorder="1" applyAlignment="1">
      <alignment horizontal="center" vertical="center"/>
    </xf>
    <xf numFmtId="0" fontId="23" fillId="20" borderId="6" xfId="0" applyFont="1" applyFill="1" applyBorder="1" applyAlignment="1">
      <alignment horizontal="left" vertical="center"/>
    </xf>
    <xf numFmtId="0" fontId="12" fillId="20" borderId="6" xfId="0" applyFont="1" applyFill="1" applyBorder="1" applyAlignment="1">
      <alignment horizontal="left" vertical="center"/>
    </xf>
    <xf numFmtId="164" fontId="36" fillId="20" borderId="6" xfId="0" applyNumberFormat="1" applyFont="1" applyFill="1" applyBorder="1" applyAlignment="1">
      <alignment horizontal="right" vertical="center"/>
    </xf>
    <xf numFmtId="3" fontId="37" fillId="20" borderId="6" xfId="0" applyNumberFormat="1" applyFont="1" applyFill="1" applyBorder="1" applyAlignment="1">
      <alignment horizontal="center" vertical="center"/>
    </xf>
    <xf numFmtId="0" fontId="23" fillId="21" borderId="6" xfId="0" applyFont="1" applyFill="1" applyBorder="1" applyAlignment="1">
      <alignment horizontal="left" vertical="center"/>
    </xf>
    <xf numFmtId="0" fontId="12" fillId="21" borderId="6" xfId="0" applyFont="1" applyFill="1" applyBorder="1" applyAlignment="1">
      <alignment horizontal="left" vertical="center"/>
    </xf>
    <xf numFmtId="164" fontId="36" fillId="21" borderId="6" xfId="0" applyNumberFormat="1" applyFont="1" applyFill="1" applyBorder="1" applyAlignment="1">
      <alignment horizontal="right" vertical="center"/>
    </xf>
    <xf numFmtId="3" fontId="37" fillId="21" borderId="6" xfId="0" applyNumberFormat="1" applyFont="1" applyFill="1" applyBorder="1" applyAlignment="1">
      <alignment horizontal="center" vertical="center"/>
    </xf>
    <xf numFmtId="164" fontId="38" fillId="2" borderId="7" xfId="0" applyNumberFormat="1" applyFont="1" applyFill="1" applyBorder="1" applyAlignment="1">
      <alignment horizontal="right" vertical="center"/>
    </xf>
    <xf numFmtId="3" fontId="39" fillId="12" borderId="6" xfId="0" applyNumberFormat="1" applyFont="1" applyFill="1" applyBorder="1" applyAlignment="1">
      <alignment horizontal="center" vertical="center"/>
    </xf>
    <xf numFmtId="168" fontId="15" fillId="12" borderId="6" xfId="0" applyNumberFormat="1" applyFont="1" applyFill="1" applyBorder="1" applyAlignment="1">
      <alignment horizontal="center" vertical="center"/>
    </xf>
    <xf numFmtId="169" fontId="36" fillId="12" borderId="6" xfId="0" applyNumberFormat="1" applyFont="1" applyFill="1" applyBorder="1" applyAlignment="1">
      <alignment horizontal="center" vertical="center"/>
    </xf>
    <xf numFmtId="3" fontId="39" fillId="9" borderId="6" xfId="0" applyNumberFormat="1" applyFont="1" applyFill="1" applyBorder="1" applyAlignment="1">
      <alignment horizontal="center" vertical="center"/>
    </xf>
    <xf numFmtId="168" fontId="15" fillId="9" borderId="6" xfId="0" applyNumberFormat="1" applyFont="1" applyFill="1" applyBorder="1" applyAlignment="1">
      <alignment horizontal="center" vertical="center"/>
    </xf>
    <xf numFmtId="169" fontId="36" fillId="9" borderId="6" xfId="0" applyNumberFormat="1" applyFont="1" applyFill="1" applyBorder="1" applyAlignment="1">
      <alignment horizontal="center" vertical="center"/>
    </xf>
    <xf numFmtId="167" fontId="16" fillId="12" borderId="6" xfId="0" applyNumberFormat="1" applyFont="1" applyFill="1" applyBorder="1" applyAlignment="1">
      <alignment horizontal="center" vertical="center"/>
    </xf>
    <xf numFmtId="164" fontId="40" fillId="12" borderId="6" xfId="0" applyNumberFormat="1" applyFont="1" applyFill="1" applyBorder="1" applyAlignment="1">
      <alignment horizontal="right" vertical="center"/>
    </xf>
    <xf numFmtId="0" fontId="35" fillId="12" borderId="6" xfId="0" applyFont="1" applyFill="1" applyBorder="1" applyAlignment="1">
      <alignment horizontal="center" vertical="center"/>
    </xf>
    <xf numFmtId="0" fontId="25" fillId="12" borderId="6" xfId="0" applyFont="1" applyFill="1" applyBorder="1" applyAlignment="1">
      <alignment horizontal="left" vertical="center" wrapText="1"/>
    </xf>
    <xf numFmtId="167" fontId="16" fillId="9" borderId="6" xfId="0" applyNumberFormat="1" applyFont="1" applyFill="1" applyBorder="1" applyAlignment="1">
      <alignment horizontal="center" vertical="center"/>
    </xf>
    <xf numFmtId="164" fontId="40" fillId="9" borderId="6" xfId="0" applyNumberFormat="1" applyFont="1" applyFill="1" applyBorder="1" applyAlignment="1">
      <alignment horizontal="right" vertical="center"/>
    </xf>
    <xf numFmtId="0" fontId="35" fillId="9" borderId="6" xfId="0" applyFont="1" applyFill="1" applyBorder="1" applyAlignment="1">
      <alignment horizontal="center" vertical="center"/>
    </xf>
    <xf numFmtId="0" fontId="25" fillId="9" borderId="6" xfId="0" applyFont="1" applyFill="1" applyBorder="1" applyAlignment="1">
      <alignment horizontal="left" vertical="center" wrapText="1"/>
    </xf>
    <xf numFmtId="0" fontId="22" fillId="4" borderId="8" xfId="0" applyFont="1" applyFill="1" applyBorder="1" applyAlignment="1">
      <alignment horizontal="left" vertical="center"/>
    </xf>
    <xf numFmtId="0" fontId="25" fillId="4" borderId="6" xfId="0" applyFont="1" applyFill="1" applyBorder="1" applyAlignment="1">
      <alignment horizontal="left" vertical="center"/>
    </xf>
    <xf numFmtId="0" fontId="27" fillId="17" borderId="9" xfId="0" applyFont="1" applyFill="1" applyBorder="1" applyAlignment="1">
      <alignment horizontal="left" vertical="center"/>
    </xf>
    <xf numFmtId="164" fontId="4" fillId="4" borderId="10" xfId="0" applyNumberFormat="1" applyFont="1" applyFill="1" applyBorder="1" applyAlignment="1">
      <alignment horizontal="center" vertical="center"/>
    </xf>
    <xf numFmtId="164" fontId="5" fillId="4" borderId="10" xfId="0" applyNumberFormat="1" applyFont="1" applyFill="1" applyBorder="1" applyAlignment="1">
      <alignment horizontal="center" vertical="center"/>
    </xf>
    <xf numFmtId="164" fontId="7" fillId="4" borderId="10" xfId="0" applyNumberFormat="1" applyFont="1" applyFill="1" applyBorder="1" applyAlignment="1">
      <alignment horizontal="center" vertical="center"/>
    </xf>
    <xf numFmtId="164" fontId="9" fillId="4" borderId="10" xfId="0" applyNumberFormat="1" applyFont="1" applyFill="1" applyBorder="1" applyAlignment="1">
      <alignment horizontal="center" vertical="center"/>
    </xf>
    <xf numFmtId="3" fontId="9" fillId="4" borderId="10" xfId="0" applyNumberFormat="1" applyFont="1" applyFill="1" applyBorder="1" applyAlignment="1">
      <alignment horizontal="center" vertical="center"/>
    </xf>
    <xf numFmtId="0" fontId="41" fillId="13" borderId="11" xfId="0" applyFont="1" applyFill="1" applyBorder="1" applyAlignment="1">
      <alignment horizontal="left" vertical="center"/>
    </xf>
    <xf numFmtId="0" fontId="42" fillId="12" borderId="11" xfId="0" applyFont="1" applyFill="1" applyBorder="1" applyAlignment="1">
      <alignment horizontal="left" vertical="center"/>
    </xf>
    <xf numFmtId="0" fontId="42" fillId="12" borderId="11" xfId="0" applyFont="1" applyFill="1" applyBorder="1" applyAlignment="1">
      <alignment horizontal="center" vertical="center"/>
    </xf>
    <xf numFmtId="3" fontId="43" fillId="11" borderId="11" xfId="0" applyNumberFormat="1" applyFont="1" applyFill="1" applyBorder="1" applyAlignment="1">
      <alignment horizontal="center" vertical="center"/>
    </xf>
    <xf numFmtId="3" fontId="44" fillId="11" borderId="11" xfId="0" applyNumberFormat="1" applyFont="1" applyFill="1" applyBorder="1" applyAlignment="1">
      <alignment horizontal="center" vertical="center"/>
    </xf>
    <xf numFmtId="0" fontId="18" fillId="11" borderId="11" xfId="0" applyFont="1" applyFill="1" applyBorder="1" applyAlignment="1">
      <alignment horizontal="center" vertical="center"/>
    </xf>
    <xf numFmtId="14" fontId="12" fillId="9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5F0E8"/>
      <rgbColor rgb="FFFF00FF"/>
      <rgbColor rgb="FF00FFFF"/>
      <rgbColor rgb="FF7B1C2E"/>
      <rgbColor rgb="FF008000"/>
      <rgbColor rgb="FF000080"/>
      <rgbColor rgb="FF7D6608"/>
      <rgbColor rgb="FF800080"/>
      <rgbColor rgb="FF1A6B4A"/>
      <rgbColor rgb="FFCCCCCC"/>
      <rgbColor rgb="FF878787"/>
      <rgbColor rgb="FFAAAAAA"/>
      <rgbColor rgb="FF6C3483"/>
      <rgbColor rgb="FFFFF9C4"/>
      <rgbColor rgb="FFEEF4FF"/>
      <rgbColor rgb="FF5B2333"/>
      <rgbColor rgb="FFFF8080"/>
      <rgbColor rgb="FF0066CC"/>
      <rgbColor rgb="FFD0D0D0"/>
      <rgbColor rgb="FF000080"/>
      <rgbColor rgb="FFFF00FF"/>
      <rgbColor rgb="FFF9F4EE"/>
      <rgbColor rgb="FF00FFFF"/>
      <rgbColor rgb="FF800080"/>
      <rgbColor rgb="FF800000"/>
      <rgbColor rgb="FF1A7A34"/>
      <rgbColor rgb="FF0000FF"/>
      <rgbColor rgb="FF00CCFF"/>
      <rgbColor rgb="FFF5F5F5"/>
      <rgbColor rgb="FFD5F5E3"/>
      <rgbColor rgb="FFFFF3CD"/>
      <rgbColor rgb="FFD9D9D9"/>
      <rgbColor rgb="FFFFCDD2"/>
      <rgbColor rgb="FFFDECEA"/>
      <rgbColor rgb="FFFFE0B2"/>
      <rgbColor rgb="FF3366FF"/>
      <rgbColor rgb="FF33CCCC"/>
      <rgbColor rgb="FF99CC00"/>
      <rgbColor rgb="FFF9F9F9"/>
      <rgbColor rgb="FFD4770A"/>
      <rgbColor rgb="FFE07B00"/>
      <rgbColor rgb="FF6B6B6B"/>
      <rgbColor rgb="FF999999"/>
      <rgbColor rgb="FF1A3A5C"/>
      <rgbColor rgb="FF888888"/>
      <rgbColor rgb="FF003300"/>
      <rgbColor rgb="FF3A3A3A"/>
      <rgbColor rgb="FFC0392B"/>
      <rgbColor rgb="FF7B4F00"/>
      <rgbColor rgb="FF1A5276"/>
      <rgbColor rgb="FF2C2C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L" sz="1800" b="1" strike="noStrike" spc="-1">
                <a:solidFill>
                  <a:srgbClr val="000000"/>
                </a:solidFill>
                <a:latin typeface="Calibri"/>
              </a:rPr>
              <a:t>Avance vs Meta por Canal — NUVA OXI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rgbClr val="D0D0D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L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GRÁFICO!$A$5:$A$9</c:f>
              <c:strCache>
                <c:ptCount val="5"/>
                <c:pt idx="0">
                  <c:v>Retail Moderno</c:v>
                </c:pt>
                <c:pt idx="1">
                  <c:v>Canal Especializado</c:v>
                </c:pt>
                <c:pt idx="2">
                  <c:v>Canal Conveniencia</c:v>
                </c:pt>
                <c:pt idx="3">
                  <c:v>Canal Turístico</c:v>
                </c:pt>
                <c:pt idx="4">
                  <c:v>HoReCa</c:v>
                </c:pt>
              </c:strCache>
            </c:strRef>
          </c:cat>
          <c:val>
            <c:numRef>
              <c:f>GRÁFICO!$B$5:$B$9</c:f>
              <c:numCache>
                <c:formatCode>#,##0</c:formatCode>
                <c:ptCount val="5"/>
                <c:pt idx="0">
                  <c:v>378</c:v>
                </c:pt>
                <c:pt idx="1">
                  <c:v>214</c:v>
                </c:pt>
                <c:pt idx="2">
                  <c:v>150</c:v>
                </c:pt>
                <c:pt idx="3">
                  <c:v>23</c:v>
                </c:pt>
                <c:pt idx="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C3-4E9D-8783-1BBDBB029415}"/>
            </c:ext>
          </c:extLst>
        </c:ser>
        <c:ser>
          <c:idx val="1"/>
          <c:order val="1"/>
          <c:tx>
            <c:v>Vendido</c:v>
          </c:tx>
          <c:spPr>
            <a:solidFill>
              <a:srgbClr val="7B1C2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L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GRÁFICO!$A$5:$A$9</c:f>
              <c:strCache>
                <c:ptCount val="5"/>
                <c:pt idx="0">
                  <c:v>Retail Moderno</c:v>
                </c:pt>
                <c:pt idx="1">
                  <c:v>Canal Especializado</c:v>
                </c:pt>
                <c:pt idx="2">
                  <c:v>Canal Conveniencia</c:v>
                </c:pt>
                <c:pt idx="3">
                  <c:v>Canal Turístico</c:v>
                </c:pt>
                <c:pt idx="4">
                  <c:v>HoReCa</c:v>
                </c:pt>
              </c:strCache>
            </c:strRef>
          </c:cat>
          <c:val>
            <c:numRef>
              <c:f>GRÁFICO!$C$5:$C$9</c:f>
              <c:numCache>
                <c:formatCode>#,##0</c:formatCode>
                <c:ptCount val="5"/>
                <c:pt idx="0">
                  <c:v>50</c:v>
                </c:pt>
                <c:pt idx="1">
                  <c:v>29</c:v>
                </c:pt>
                <c:pt idx="2">
                  <c:v>0</c:v>
                </c:pt>
                <c:pt idx="3">
                  <c:v>5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C3-4E9D-8783-1BBDBB029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393920"/>
        <c:axId val="92043211"/>
      </c:barChart>
      <c:catAx>
        <c:axId val="843939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</a:rPr>
                  <a:t>Canal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92043211"/>
        <c:crosses val="autoZero"/>
        <c:auto val="1"/>
        <c:lblAlgn val="ctr"/>
        <c:lblOffset val="100"/>
        <c:noMultiLvlLbl val="0"/>
      </c:catAx>
      <c:valAx>
        <c:axId val="920432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</a:rPr>
                  <a:t>Unidades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843939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6</xdr:col>
      <xdr:colOff>87480</xdr:colOff>
      <xdr:row>33</xdr:row>
      <xdr:rowOff>127800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BL_SKUS" displayName="TBL_SKUS" ref="A12:F18" totalsRowShown="0">
  <autoFilter ref="A12:F18" xr:uid="{00000000-0009-0000-0100-000004000000}"/>
  <tableColumns count="6">
    <tableColumn id="1" xr3:uid="{00000000-0010-0000-0000-000001000000}" name="Código"/>
    <tableColumn id="2" xr3:uid="{00000000-0010-0000-0000-000002000000}" name="Descripción"/>
    <tableColumn id="3" xr3:uid="{00000000-0010-0000-0000-000003000000}" name="Sabor"/>
    <tableColumn id="4" xr3:uid="{00000000-0010-0000-0000-000004000000}" name="Formato"/>
    <tableColumn id="5" xr3:uid="{00000000-0010-0000-0000-000005000000}" name="PVP c/IVA"/>
    <tableColumn id="6" xr3:uid="{00000000-0010-0000-0000-000006000000}" name="PVP Neto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BL_POP_REF" displayName="TBL_POP_REF" ref="A5:E12" totalsRowShown="0">
  <autoFilter ref="A5:E12" xr:uid="{00000000-0009-0000-0100-000003000000}"/>
  <tableColumns count="5">
    <tableColumn id="1" xr3:uid="{00000000-0010-0000-0300-000001000000}" name="Código"/>
    <tableColumn id="2" xr3:uid="{00000000-0010-0000-0300-000002000000}" name="Tipo"/>
    <tableColumn id="3" xr3:uid="{00000000-0010-0000-0300-000003000000}" name="Descripción"/>
    <tableColumn id="4" xr3:uid="{00000000-0010-0000-0300-000004000000}" name="Costo Ref ($)"/>
    <tableColumn id="5" xr3:uid="{00000000-0010-0000-0300-000005000000}" name="Duració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3"/>
  <sheetViews>
    <sheetView showGridLines="0" zoomScaleNormal="100" workbookViewId="0">
      <pane ySplit="7" topLeftCell="A8" activePane="bottomLeft" state="frozen"/>
      <selection pane="bottomLeft" activeCell="P4" sqref="P4:R4"/>
    </sheetView>
  </sheetViews>
  <sheetFormatPr baseColWidth="10" defaultColWidth="8.6328125" defaultRowHeight="14.5" x14ac:dyDescent="0.35"/>
  <cols>
    <col min="1" max="1" width="18" customWidth="1"/>
    <col min="2" max="2" width="12" customWidth="1"/>
    <col min="3" max="3" width="10" customWidth="1"/>
    <col min="4" max="4" width="6" customWidth="1"/>
    <col min="5" max="5" width="22" customWidth="1"/>
    <col min="6" max="6" width="5" customWidth="1"/>
    <col min="7" max="7" width="10" customWidth="1"/>
    <col min="8" max="19" width="7" customWidth="1"/>
    <col min="20" max="20" width="13" customWidth="1"/>
    <col min="21" max="21" width="9" customWidth="1"/>
    <col min="22" max="22" width="12" customWidth="1"/>
    <col min="23" max="23" width="10" customWidth="1"/>
    <col min="24" max="24" width="14" customWidth="1"/>
  </cols>
  <sheetData>
    <row r="1" spans="1:24" ht="36" customHeight="1" x14ac:dyDescent="0.3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spans="1:24" ht="15" customHeight="1" x14ac:dyDescent="0.35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3" spans="1:24" ht="25.5" customHeight="1" x14ac:dyDescent="0.35">
      <c r="A3" s="12" t="s">
        <v>2</v>
      </c>
      <c r="B3" s="12"/>
      <c r="C3" s="12"/>
      <c r="D3" s="12" t="s">
        <v>3</v>
      </c>
      <c r="E3" s="12"/>
      <c r="F3" s="12"/>
      <c r="G3" s="12" t="s">
        <v>4</v>
      </c>
      <c r="H3" s="12"/>
      <c r="I3" s="12"/>
      <c r="J3" s="12" t="s">
        <v>5</v>
      </c>
      <c r="K3" s="12"/>
      <c r="L3" s="12"/>
      <c r="M3" s="12" t="s">
        <v>6</v>
      </c>
      <c r="N3" s="12"/>
      <c r="O3" s="12"/>
      <c r="P3" s="12" t="s">
        <v>7</v>
      </c>
      <c r="Q3" s="12"/>
      <c r="R3" s="12"/>
    </row>
    <row r="4" spans="1:24" ht="30" customHeight="1" x14ac:dyDescent="0.35">
      <c r="A4" s="11">
        <f ca="1">IFERROR(SUM(VENTAS!J4:J10000),0)</f>
        <v>221514</v>
      </c>
      <c r="B4" s="11"/>
      <c r="C4" s="11"/>
      <c r="D4" s="10">
        <f ca="1">IFERROR(SUM(VENTAS!L4:L10000),0)</f>
        <v>200514</v>
      </c>
      <c r="E4" s="10"/>
      <c r="F4" s="10"/>
      <c r="G4" s="9">
        <f>IFERROR(SUM(VENTAS!G4:G10000),0)</f>
        <v>92</v>
      </c>
      <c r="H4" s="9"/>
      <c r="I4" s="9"/>
      <c r="J4" s="8">
        <f>IFERROR(SUMIF(VENTAS!M4:M10000,"Emitida",VENTAS!J4:J10000),0)</f>
        <v>301933</v>
      </c>
      <c r="K4" s="8"/>
      <c r="L4" s="8"/>
      <c r="M4" s="7">
        <f>IFERROR(COUNTIF(PANEL!G5:G200,"Activo"),0)</f>
        <v>22</v>
      </c>
      <c r="N4" s="7"/>
      <c r="O4" s="7"/>
      <c r="P4" s="6">
        <f>IFERROR(COUNTIF(INVENTARIO!K4:K100,"🔴 Sin stock"),0)</f>
        <v>1</v>
      </c>
      <c r="Q4" s="6"/>
      <c r="R4" s="6"/>
    </row>
    <row r="5" spans="1:24" ht="18" customHeight="1" x14ac:dyDescent="0.35">
      <c r="A5" s="5" t="s">
        <v>8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 ht="19.5" customHeight="1" x14ac:dyDescent="0.35">
      <c r="A6" s="4" t="s">
        <v>9</v>
      </c>
      <c r="B6" s="4"/>
      <c r="C6" s="4"/>
      <c r="D6" s="4"/>
      <c r="E6" s="4"/>
      <c r="F6" s="4"/>
      <c r="G6" s="4"/>
      <c r="H6" s="3" t="s">
        <v>10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2" t="s">
        <v>11</v>
      </c>
      <c r="U6" s="2"/>
      <c r="V6" s="2"/>
      <c r="W6" s="4" t="s">
        <v>12</v>
      </c>
      <c r="X6" s="4"/>
    </row>
    <row r="7" spans="1:24" ht="31.5" customHeight="1" x14ac:dyDescent="0.35">
      <c r="A7" s="15" t="s">
        <v>13</v>
      </c>
      <c r="B7" s="15" t="s">
        <v>14</v>
      </c>
      <c r="C7" s="15" t="s">
        <v>15</v>
      </c>
      <c r="D7" s="15" t="s">
        <v>16</v>
      </c>
      <c r="E7" s="15" t="s">
        <v>17</v>
      </c>
      <c r="F7" s="15" t="s">
        <v>18</v>
      </c>
      <c r="G7" s="15" t="s">
        <v>19</v>
      </c>
      <c r="H7" s="16" t="s">
        <v>20</v>
      </c>
      <c r="I7" s="16" t="s">
        <v>21</v>
      </c>
      <c r="J7" s="16" t="s">
        <v>22</v>
      </c>
      <c r="K7" s="16" t="s">
        <v>23</v>
      </c>
      <c r="L7" s="16" t="s">
        <v>24</v>
      </c>
      <c r="M7" s="16" t="s">
        <v>25</v>
      </c>
      <c r="N7" s="16" t="s">
        <v>26</v>
      </c>
      <c r="O7" s="16" t="s">
        <v>27</v>
      </c>
      <c r="P7" s="16" t="s">
        <v>28</v>
      </c>
      <c r="Q7" s="16" t="s">
        <v>29</v>
      </c>
      <c r="R7" s="16" t="s">
        <v>30</v>
      </c>
      <c r="S7" s="16" t="s">
        <v>31</v>
      </c>
      <c r="T7" s="17" t="s">
        <v>32</v>
      </c>
      <c r="U7" s="17" t="s">
        <v>4</v>
      </c>
      <c r="V7" s="17" t="s">
        <v>33</v>
      </c>
      <c r="W7" s="18" t="s">
        <v>34</v>
      </c>
      <c r="X7" s="18" t="s">
        <v>35</v>
      </c>
    </row>
    <row r="8" spans="1:24" ht="19.5" customHeight="1" x14ac:dyDescent="0.35">
      <c r="A8" s="19" t="s">
        <v>36</v>
      </c>
      <c r="B8" s="20" t="s">
        <v>37</v>
      </c>
      <c r="C8" s="20" t="s">
        <v>38</v>
      </c>
      <c r="D8" s="21" t="s">
        <v>39</v>
      </c>
      <c r="E8" s="20" t="s">
        <v>40</v>
      </c>
      <c r="F8" s="21" t="s">
        <v>41</v>
      </c>
      <c r="G8" s="22" t="s">
        <v>42</v>
      </c>
      <c r="H8" s="23">
        <v>0</v>
      </c>
      <c r="I8" s="23">
        <v>0</v>
      </c>
      <c r="J8" s="23">
        <v>0</v>
      </c>
      <c r="K8" s="23">
        <v>0</v>
      </c>
      <c r="L8" s="23">
        <v>0</v>
      </c>
      <c r="M8" s="23">
        <v>0</v>
      </c>
      <c r="N8" s="23">
        <v>0</v>
      </c>
      <c r="O8" s="23">
        <v>0</v>
      </c>
      <c r="P8" s="23">
        <v>0</v>
      </c>
      <c r="Q8" s="24">
        <v>10</v>
      </c>
      <c r="R8" s="24">
        <v>12</v>
      </c>
      <c r="S8" s="24">
        <v>14</v>
      </c>
      <c r="T8" s="25">
        <f>IFERROR(SUMIF(VENTAS!D4:D10000,D8,VENTAS!J4:J10000),0)</f>
        <v>0</v>
      </c>
      <c r="U8" s="26">
        <f>IFERROR(SUMIF(VENTAS!D4:D10000,D8,VENTAS!G4:G10000),0)</f>
        <v>0</v>
      </c>
      <c r="V8" s="27" t="str">
        <f t="shared" ref="V8:V30" si="0">IF(SUM(H8:S8)=0,"—",IF(U8/SUM(H8:S8)&gt;=1,"✅ Logrado",IF(U8/SUM(H8:S8)&gt;=0.6,"🟡 En curso","🔴 Bajo")))</f>
        <v>🔴 Bajo</v>
      </c>
      <c r="W8" s="28"/>
      <c r="X8" s="27" t="str">
        <f>IFERROR(VLOOKUP(D8,INVENTARIO!C4:K27,9,0),"Sin dato")</f>
        <v>🔴 Sin stock</v>
      </c>
    </row>
    <row r="9" spans="1:24" ht="19.5" customHeight="1" x14ac:dyDescent="0.35">
      <c r="A9" s="19" t="s">
        <v>36</v>
      </c>
      <c r="B9" s="29" t="s">
        <v>37</v>
      </c>
      <c r="C9" s="29" t="s">
        <v>38</v>
      </c>
      <c r="D9" s="30" t="s">
        <v>43</v>
      </c>
      <c r="E9" s="29" t="s">
        <v>44</v>
      </c>
      <c r="F9" s="30" t="s">
        <v>41</v>
      </c>
      <c r="G9" s="31" t="s">
        <v>42</v>
      </c>
      <c r="H9" s="23">
        <v>0</v>
      </c>
      <c r="I9" s="23">
        <v>0</v>
      </c>
      <c r="J9" s="23">
        <v>0</v>
      </c>
      <c r="K9" s="23">
        <v>0</v>
      </c>
      <c r="L9" s="23">
        <v>0</v>
      </c>
      <c r="M9" s="23">
        <v>0</v>
      </c>
      <c r="N9" s="23">
        <v>0</v>
      </c>
      <c r="O9" s="23">
        <v>0</v>
      </c>
      <c r="P9" s="23">
        <v>0</v>
      </c>
      <c r="Q9" s="24">
        <v>10</v>
      </c>
      <c r="R9" s="24">
        <v>12</v>
      </c>
      <c r="S9" s="24">
        <v>14</v>
      </c>
      <c r="T9" s="32">
        <f>IFERROR(SUMIF(VENTAS!D4:D10000,D9,VENTAS!J4:J10000),0)</f>
        <v>0</v>
      </c>
      <c r="U9" s="33">
        <f>IFERROR(SUMIF(VENTAS!D4:D10000,D9,VENTAS!G4:G10000),0)</f>
        <v>0</v>
      </c>
      <c r="V9" s="34" t="str">
        <f t="shared" si="0"/>
        <v>🔴 Bajo</v>
      </c>
      <c r="W9" s="28"/>
      <c r="X9" s="34" t="str">
        <f>IFERROR(VLOOKUP(D9,INVENTARIO!C4:K27,9,0),"Sin dato")</f>
        <v>✅ OK</v>
      </c>
    </row>
    <row r="10" spans="1:24" ht="19.5" customHeight="1" x14ac:dyDescent="0.35">
      <c r="A10" s="19" t="s">
        <v>36</v>
      </c>
      <c r="B10" s="20" t="s">
        <v>37</v>
      </c>
      <c r="C10" s="20" t="s">
        <v>38</v>
      </c>
      <c r="D10" s="21" t="s">
        <v>45</v>
      </c>
      <c r="E10" s="20" t="s">
        <v>46</v>
      </c>
      <c r="F10" s="21" t="s">
        <v>47</v>
      </c>
      <c r="G10" s="22" t="s">
        <v>42</v>
      </c>
      <c r="H10" s="23">
        <v>0</v>
      </c>
      <c r="I10" s="23">
        <v>0</v>
      </c>
      <c r="J10" s="23">
        <v>0</v>
      </c>
      <c r="K10" s="23">
        <v>0</v>
      </c>
      <c r="L10" s="23">
        <v>0</v>
      </c>
      <c r="M10" s="23">
        <v>0</v>
      </c>
      <c r="N10" s="23">
        <v>0</v>
      </c>
      <c r="O10" s="23">
        <v>0</v>
      </c>
      <c r="P10" s="23">
        <v>0</v>
      </c>
      <c r="Q10" s="24">
        <v>8</v>
      </c>
      <c r="R10" s="24">
        <v>10</v>
      </c>
      <c r="S10" s="24">
        <v>12</v>
      </c>
      <c r="T10" s="25">
        <f>IFERROR(SUMIF(VENTAS!D4:D10000,D10,VENTAS!J4:J10000),0)</f>
        <v>0</v>
      </c>
      <c r="U10" s="26">
        <f>IFERROR(SUMIF(VENTAS!D4:D10000,D10,VENTAS!G4:G10000),0)</f>
        <v>0</v>
      </c>
      <c r="V10" s="27" t="str">
        <f t="shared" si="0"/>
        <v>🔴 Bajo</v>
      </c>
      <c r="W10" s="28"/>
      <c r="X10" s="27" t="str">
        <f>IFERROR(VLOOKUP(D10,INVENTARIO!C4:K27,9,0),"Sin dato")</f>
        <v>✅ OK</v>
      </c>
    </row>
    <row r="11" spans="1:24" ht="19.5" customHeight="1" x14ac:dyDescent="0.35">
      <c r="A11" s="19" t="s">
        <v>36</v>
      </c>
      <c r="B11" s="29" t="s">
        <v>37</v>
      </c>
      <c r="C11" s="29" t="s">
        <v>38</v>
      </c>
      <c r="D11" s="30" t="s">
        <v>48</v>
      </c>
      <c r="E11" s="29" t="s">
        <v>49</v>
      </c>
      <c r="F11" s="30" t="s">
        <v>41</v>
      </c>
      <c r="G11" s="31" t="s">
        <v>42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3">
        <v>0</v>
      </c>
      <c r="O11" s="23">
        <v>0</v>
      </c>
      <c r="P11" s="23">
        <v>0</v>
      </c>
      <c r="Q11" s="24">
        <v>8</v>
      </c>
      <c r="R11" s="24">
        <v>10</v>
      </c>
      <c r="S11" s="24">
        <v>12</v>
      </c>
      <c r="T11" s="32">
        <f>IFERROR(SUMIF(VENTAS!D4:D10000,D11,VENTAS!J4:J10000),0)</f>
        <v>0</v>
      </c>
      <c r="U11" s="33">
        <f>IFERROR(SUMIF(VENTAS!D4:D10000,D11,VENTAS!G4:G10000),0)</f>
        <v>0</v>
      </c>
      <c r="V11" s="34" t="str">
        <f t="shared" si="0"/>
        <v>🔴 Bajo</v>
      </c>
      <c r="W11" s="28"/>
      <c r="X11" s="34" t="str">
        <f>IFERROR(VLOOKUP(D11,INVENTARIO!C4:K27,9,0),"Sin dato")</f>
        <v>✅ OK</v>
      </c>
    </row>
    <row r="12" spans="1:24" ht="19.5" customHeight="1" x14ac:dyDescent="0.35">
      <c r="A12" s="19" t="s">
        <v>36</v>
      </c>
      <c r="B12" s="20" t="s">
        <v>37</v>
      </c>
      <c r="C12" s="20" t="s">
        <v>38</v>
      </c>
      <c r="D12" s="21" t="s">
        <v>50</v>
      </c>
      <c r="E12" s="20" t="s">
        <v>51</v>
      </c>
      <c r="F12" s="21" t="s">
        <v>41</v>
      </c>
      <c r="G12" s="22" t="s">
        <v>42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23">
        <v>0</v>
      </c>
      <c r="Q12" s="24">
        <v>6</v>
      </c>
      <c r="R12" s="24">
        <v>8</v>
      </c>
      <c r="S12" s="24">
        <v>10</v>
      </c>
      <c r="T12" s="25">
        <f>IFERROR(SUMIF(VENTAS!D4:D10000,D12,VENTAS!J4:J10000),0)</f>
        <v>0</v>
      </c>
      <c r="U12" s="26">
        <f>IFERROR(SUMIF(VENTAS!D4:D10000,D12,VENTAS!G4:G10000),0)</f>
        <v>0</v>
      </c>
      <c r="V12" s="27" t="str">
        <f t="shared" si="0"/>
        <v>🔴 Bajo</v>
      </c>
      <c r="W12" s="28"/>
      <c r="X12" s="27" t="str">
        <f>IFERROR(VLOOKUP(D12,INVENTARIO!C4:K27,9,0),"Sin dato")</f>
        <v>✅ OK</v>
      </c>
    </row>
    <row r="13" spans="1:24" ht="19.5" customHeight="1" x14ac:dyDescent="0.35">
      <c r="A13" s="19" t="s">
        <v>36</v>
      </c>
      <c r="B13" s="29" t="s">
        <v>37</v>
      </c>
      <c r="C13" s="29" t="s">
        <v>38</v>
      </c>
      <c r="D13" s="30" t="s">
        <v>52</v>
      </c>
      <c r="E13" s="29" t="s">
        <v>53</v>
      </c>
      <c r="F13" s="30" t="s">
        <v>41</v>
      </c>
      <c r="G13" s="31" t="s">
        <v>42</v>
      </c>
      <c r="H13" s="23">
        <v>0</v>
      </c>
      <c r="I13" s="23">
        <v>0</v>
      </c>
      <c r="J13" s="23">
        <v>0</v>
      </c>
      <c r="K13" s="23">
        <v>0</v>
      </c>
      <c r="L13" s="23">
        <v>0</v>
      </c>
      <c r="M13" s="23">
        <v>0</v>
      </c>
      <c r="N13" s="23">
        <v>0</v>
      </c>
      <c r="O13" s="23">
        <v>0</v>
      </c>
      <c r="P13" s="23">
        <v>0</v>
      </c>
      <c r="Q13" s="24">
        <v>6</v>
      </c>
      <c r="R13" s="24">
        <v>8</v>
      </c>
      <c r="S13" s="24">
        <v>10</v>
      </c>
      <c r="T13" s="32">
        <f>IFERROR(SUMIF(VENTAS!D4:D10000,D13,VENTAS!J4:J10000),0)</f>
        <v>0</v>
      </c>
      <c r="U13" s="33">
        <f>IFERROR(SUMIF(VENTAS!D4:D10000,D13,VENTAS!G4:G10000),0)</f>
        <v>0</v>
      </c>
      <c r="V13" s="34" t="str">
        <f t="shared" si="0"/>
        <v>🔴 Bajo</v>
      </c>
      <c r="W13" s="28"/>
      <c r="X13" s="34" t="str">
        <f>IFERROR(VLOOKUP(D13,INVENTARIO!C4:K27,9,0),"Sin dato")</f>
        <v>✅ OK</v>
      </c>
    </row>
    <row r="14" spans="1:24" ht="19.5" customHeight="1" x14ac:dyDescent="0.35">
      <c r="A14" s="19" t="s">
        <v>36</v>
      </c>
      <c r="B14" s="20" t="s">
        <v>37</v>
      </c>
      <c r="C14" s="20" t="s">
        <v>38</v>
      </c>
      <c r="D14" s="21" t="s">
        <v>54</v>
      </c>
      <c r="E14" s="20" t="s">
        <v>55</v>
      </c>
      <c r="F14" s="21" t="s">
        <v>41</v>
      </c>
      <c r="G14" s="22" t="s">
        <v>42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4">
        <v>6</v>
      </c>
      <c r="R14" s="24">
        <v>8</v>
      </c>
      <c r="S14" s="24">
        <v>10</v>
      </c>
      <c r="T14" s="25">
        <f>IFERROR(SUMIF(VENTAS!D4:D10000,D14,VENTAS!J4:J10000),0)</f>
        <v>0</v>
      </c>
      <c r="U14" s="26">
        <f>IFERROR(SUMIF(VENTAS!D4:D10000,D14,VENTAS!G4:G10000),0)</f>
        <v>0</v>
      </c>
      <c r="V14" s="27" t="str">
        <f t="shared" si="0"/>
        <v>🔴 Bajo</v>
      </c>
      <c r="W14" s="28"/>
      <c r="X14" s="27" t="str">
        <f>IFERROR(VLOOKUP(D14,INVENTARIO!C4:K27,9,0),"Sin dato")</f>
        <v>✅ OK</v>
      </c>
    </row>
    <row r="15" spans="1:24" ht="19.5" customHeight="1" x14ac:dyDescent="0.35">
      <c r="A15" s="19" t="s">
        <v>36</v>
      </c>
      <c r="B15" s="29" t="s">
        <v>37</v>
      </c>
      <c r="C15" s="29" t="s">
        <v>38</v>
      </c>
      <c r="D15" s="30" t="s">
        <v>56</v>
      </c>
      <c r="E15" s="29" t="s">
        <v>57</v>
      </c>
      <c r="F15" s="30" t="s">
        <v>47</v>
      </c>
      <c r="G15" s="31" t="s">
        <v>42</v>
      </c>
      <c r="H15" s="23">
        <v>0</v>
      </c>
      <c r="I15" s="23">
        <v>0</v>
      </c>
      <c r="J15" s="23">
        <v>0</v>
      </c>
      <c r="K15" s="23">
        <v>0</v>
      </c>
      <c r="L15" s="23">
        <v>0</v>
      </c>
      <c r="M15" s="23">
        <v>0</v>
      </c>
      <c r="N15" s="23">
        <v>0</v>
      </c>
      <c r="O15" s="23">
        <v>0</v>
      </c>
      <c r="P15" s="23">
        <v>0</v>
      </c>
      <c r="Q15" s="24">
        <v>6</v>
      </c>
      <c r="R15" s="24">
        <v>8</v>
      </c>
      <c r="S15" s="24">
        <v>10</v>
      </c>
      <c r="T15" s="32">
        <f>IFERROR(SUMIF(VENTAS!D4:D10000,D15,VENTAS!J4:J10000),0)</f>
        <v>0</v>
      </c>
      <c r="U15" s="33">
        <f>IFERROR(SUMIF(VENTAS!D4:D10000,D15,VENTAS!G4:G10000),0)</f>
        <v>0</v>
      </c>
      <c r="V15" s="34" t="str">
        <f t="shared" si="0"/>
        <v>🔴 Bajo</v>
      </c>
      <c r="W15" s="28"/>
      <c r="X15" s="34" t="str">
        <f>IFERROR(VLOOKUP(D15,INVENTARIO!C4:K27,9,0),"Sin dato")</f>
        <v>✅ OK</v>
      </c>
    </row>
    <row r="16" spans="1:24" ht="19.5" customHeight="1" x14ac:dyDescent="0.35">
      <c r="A16" s="19" t="s">
        <v>36</v>
      </c>
      <c r="B16" s="20" t="s">
        <v>37</v>
      </c>
      <c r="C16" s="20" t="s">
        <v>38</v>
      </c>
      <c r="D16" s="21" t="s">
        <v>58</v>
      </c>
      <c r="E16" s="20" t="s">
        <v>59</v>
      </c>
      <c r="F16" s="21" t="s">
        <v>47</v>
      </c>
      <c r="G16" s="22" t="s">
        <v>42</v>
      </c>
      <c r="H16" s="23">
        <v>0</v>
      </c>
      <c r="I16" s="23">
        <v>0</v>
      </c>
      <c r="J16" s="23">
        <v>0</v>
      </c>
      <c r="K16" s="23">
        <v>0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4">
        <v>6</v>
      </c>
      <c r="R16" s="24">
        <v>8</v>
      </c>
      <c r="S16" s="24">
        <v>10</v>
      </c>
      <c r="T16" s="25">
        <f>IFERROR(SUMIF(VENTAS!D4:D10000,D16,VENTAS!J4:J10000),0)</f>
        <v>0</v>
      </c>
      <c r="U16" s="26">
        <f>IFERROR(SUMIF(VENTAS!D4:D10000,D16,VENTAS!G4:G10000),0)</f>
        <v>0</v>
      </c>
      <c r="V16" s="27" t="str">
        <f t="shared" si="0"/>
        <v>🔴 Bajo</v>
      </c>
      <c r="W16" s="28"/>
      <c r="X16" s="27" t="str">
        <f>IFERROR(VLOOKUP(D16,INVENTARIO!C4:K27,9,0),"Sin dato")</f>
        <v>✅ OK</v>
      </c>
    </row>
    <row r="17" spans="1:26" ht="19.5" customHeight="1" x14ac:dyDescent="0.35">
      <c r="A17" s="19" t="s">
        <v>36</v>
      </c>
      <c r="B17" s="29" t="s">
        <v>37</v>
      </c>
      <c r="C17" s="29" t="s">
        <v>38</v>
      </c>
      <c r="D17" s="30" t="s">
        <v>60</v>
      </c>
      <c r="E17" s="29" t="s">
        <v>61</v>
      </c>
      <c r="F17" s="30" t="s">
        <v>41</v>
      </c>
      <c r="G17" s="31" t="s">
        <v>42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4">
        <v>5</v>
      </c>
      <c r="R17" s="24">
        <v>7</v>
      </c>
      <c r="S17" s="24">
        <v>9</v>
      </c>
      <c r="T17" s="32">
        <f>IFERROR(SUMIF(VENTAS!D4:D10000,D17,VENTAS!J4:J10000),0)</f>
        <v>0</v>
      </c>
      <c r="U17" s="33">
        <f>IFERROR(SUMIF(VENTAS!D4:D10000,D17,VENTAS!G4:G10000),0)</f>
        <v>0</v>
      </c>
      <c r="V17" s="34" t="str">
        <f t="shared" si="0"/>
        <v>🔴 Bajo</v>
      </c>
      <c r="W17" s="28"/>
      <c r="X17" s="34" t="str">
        <f>IFERROR(VLOOKUP(D17,INVENTARIO!C4:K27,9,0),"Sin dato")</f>
        <v>✅ OK</v>
      </c>
      <c r="Z17" t="s">
        <v>284</v>
      </c>
    </row>
    <row r="18" spans="1:26" ht="19.5" customHeight="1" x14ac:dyDescent="0.35">
      <c r="A18" s="19" t="s">
        <v>36</v>
      </c>
      <c r="B18" s="20" t="s">
        <v>37</v>
      </c>
      <c r="C18" s="20" t="s">
        <v>38</v>
      </c>
      <c r="D18" s="21" t="s">
        <v>62</v>
      </c>
      <c r="E18" s="20" t="s">
        <v>63</v>
      </c>
      <c r="F18" s="21" t="s">
        <v>41</v>
      </c>
      <c r="G18" s="22" t="s">
        <v>42</v>
      </c>
      <c r="H18" s="23">
        <v>0</v>
      </c>
      <c r="I18" s="23">
        <v>0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0</v>
      </c>
      <c r="Q18" s="24">
        <v>5</v>
      </c>
      <c r="R18" s="24">
        <v>7</v>
      </c>
      <c r="S18" s="24">
        <v>9</v>
      </c>
      <c r="T18" s="25">
        <f>IFERROR(SUMIF(VENTAS!D4:D10000,D18,VENTAS!J4:J10000),0)</f>
        <v>0</v>
      </c>
      <c r="U18" s="26">
        <f>IFERROR(SUMIF(VENTAS!D4:D10000,D18,VENTAS!G4:G10000),0)</f>
        <v>0</v>
      </c>
      <c r="V18" s="27" t="str">
        <f t="shared" si="0"/>
        <v>🔴 Bajo</v>
      </c>
      <c r="W18" s="28"/>
      <c r="X18" s="27" t="str">
        <f>IFERROR(VLOOKUP(D18,INVENTARIO!C4:K27,9,0),"Sin dato")</f>
        <v>✅ OK</v>
      </c>
      <c r="Z18" t="s">
        <v>285</v>
      </c>
    </row>
    <row r="19" spans="1:26" ht="19.5" customHeight="1" x14ac:dyDescent="0.35">
      <c r="A19" s="19" t="s">
        <v>36</v>
      </c>
      <c r="B19" s="29" t="s">
        <v>37</v>
      </c>
      <c r="C19" s="29" t="s">
        <v>38</v>
      </c>
      <c r="D19" s="30" t="s">
        <v>64</v>
      </c>
      <c r="E19" s="29" t="s">
        <v>65</v>
      </c>
      <c r="F19" s="30" t="s">
        <v>47</v>
      </c>
      <c r="G19" s="31" t="s">
        <v>42</v>
      </c>
      <c r="H19" s="23">
        <v>0</v>
      </c>
      <c r="I19" s="23">
        <v>0</v>
      </c>
      <c r="J19" s="23">
        <v>0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4">
        <v>5</v>
      </c>
      <c r="R19" s="24">
        <v>7</v>
      </c>
      <c r="S19" s="24">
        <v>9</v>
      </c>
      <c r="T19" s="32">
        <f>IFERROR(SUMIF(VENTAS!D4:D10000,D19,VENTAS!J4:J10000),0)</f>
        <v>0</v>
      </c>
      <c r="U19" s="33">
        <f>IFERROR(SUMIF(VENTAS!D4:D10000,D19,VENTAS!G4:G10000),0)</f>
        <v>0</v>
      </c>
      <c r="V19" s="34" t="str">
        <f t="shared" si="0"/>
        <v>🔴 Bajo</v>
      </c>
      <c r="W19" s="28"/>
      <c r="X19" s="34" t="str">
        <f>IFERROR(VLOOKUP(D19,INVENTARIO!C4:K27,9,0),"Sin dato")</f>
        <v>✅ OK</v>
      </c>
    </row>
    <row r="20" spans="1:26" ht="19.5" customHeight="1" x14ac:dyDescent="0.35">
      <c r="A20" s="19" t="s">
        <v>36</v>
      </c>
      <c r="B20" s="20" t="s">
        <v>37</v>
      </c>
      <c r="C20" s="20" t="s">
        <v>38</v>
      </c>
      <c r="D20" s="21" t="s">
        <v>66</v>
      </c>
      <c r="E20" s="20" t="s">
        <v>67</v>
      </c>
      <c r="F20" s="21" t="s">
        <v>41</v>
      </c>
      <c r="G20" s="22" t="s">
        <v>42</v>
      </c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4">
        <v>5</v>
      </c>
      <c r="R20" s="24">
        <v>7</v>
      </c>
      <c r="S20" s="24">
        <v>9</v>
      </c>
      <c r="T20" s="25">
        <f>IFERROR(SUMIF(VENTAS!D4:D10000,D20,VENTAS!J4:J10000),0)</f>
        <v>0</v>
      </c>
      <c r="U20" s="26">
        <f>IFERROR(SUMIF(VENTAS!D4:D10000,D20,VENTAS!G4:G10000),0)</f>
        <v>0</v>
      </c>
      <c r="V20" s="27" t="str">
        <f t="shared" si="0"/>
        <v>🔴 Bajo</v>
      </c>
      <c r="W20" s="28"/>
      <c r="X20" s="27" t="str">
        <f>IFERROR(VLOOKUP(D20,INVENTARIO!C4:K27,9,0),"Sin dato")</f>
        <v>✅ OK</v>
      </c>
    </row>
    <row r="21" spans="1:26" ht="19.5" customHeight="1" x14ac:dyDescent="0.35">
      <c r="A21" s="19" t="s">
        <v>36</v>
      </c>
      <c r="B21" s="29" t="s">
        <v>37</v>
      </c>
      <c r="C21" s="29" t="s">
        <v>38</v>
      </c>
      <c r="D21" s="30" t="s">
        <v>68</v>
      </c>
      <c r="E21" s="29" t="s">
        <v>69</v>
      </c>
      <c r="F21" s="30" t="s">
        <v>47</v>
      </c>
      <c r="G21" s="31" t="s">
        <v>42</v>
      </c>
      <c r="H21" s="23">
        <v>0</v>
      </c>
      <c r="I21" s="23">
        <v>0</v>
      </c>
      <c r="J21" s="23">
        <v>0</v>
      </c>
      <c r="K21" s="23">
        <v>0</v>
      </c>
      <c r="L21" s="23">
        <v>0</v>
      </c>
      <c r="M21" s="23">
        <v>0</v>
      </c>
      <c r="N21" s="23">
        <v>0</v>
      </c>
      <c r="O21" s="23">
        <v>0</v>
      </c>
      <c r="P21" s="23">
        <v>0</v>
      </c>
      <c r="Q21" s="24">
        <v>5</v>
      </c>
      <c r="R21" s="24">
        <v>7</v>
      </c>
      <c r="S21" s="24">
        <v>9</v>
      </c>
      <c r="T21" s="32">
        <f>IFERROR(SUMIF(VENTAS!D4:D10000,D21,VENTAS!J4:J10000),0)</f>
        <v>0</v>
      </c>
      <c r="U21" s="33">
        <f>IFERROR(SUMIF(VENTAS!D4:D10000,D21,VENTAS!G4:G10000),0)</f>
        <v>0</v>
      </c>
      <c r="V21" s="34" t="str">
        <f t="shared" si="0"/>
        <v>🔴 Bajo</v>
      </c>
      <c r="W21" s="28"/>
      <c r="X21" s="34" t="str">
        <f>IFERROR(VLOOKUP(D21,INVENTARIO!C4:K27,9,0),"Sin dato")</f>
        <v>✅ OK</v>
      </c>
    </row>
    <row r="22" spans="1:26" ht="19.5" customHeight="1" x14ac:dyDescent="0.35">
      <c r="A22" s="19" t="s">
        <v>36</v>
      </c>
      <c r="B22" s="20" t="s">
        <v>37</v>
      </c>
      <c r="C22" s="20" t="s">
        <v>38</v>
      </c>
      <c r="D22" s="21" t="s">
        <v>70</v>
      </c>
      <c r="E22" s="20" t="s">
        <v>71</v>
      </c>
      <c r="F22" s="21" t="s">
        <v>41</v>
      </c>
      <c r="G22" s="22" t="s">
        <v>42</v>
      </c>
      <c r="H22" s="23">
        <v>0</v>
      </c>
      <c r="I22" s="23">
        <v>0</v>
      </c>
      <c r="J22" s="23">
        <v>0</v>
      </c>
      <c r="K22" s="23">
        <v>0</v>
      </c>
      <c r="L22" s="23">
        <v>0</v>
      </c>
      <c r="M22" s="23">
        <v>0</v>
      </c>
      <c r="N22" s="23">
        <v>0</v>
      </c>
      <c r="O22" s="23">
        <v>0</v>
      </c>
      <c r="P22" s="23">
        <v>0</v>
      </c>
      <c r="Q22" s="24">
        <v>5</v>
      </c>
      <c r="R22" s="24">
        <v>7</v>
      </c>
      <c r="S22" s="24">
        <v>9</v>
      </c>
      <c r="T22" s="25">
        <f>IFERROR(SUMIF(VENTAS!D4:D10000,D22,VENTAS!J4:J10000),0)</f>
        <v>0</v>
      </c>
      <c r="U22" s="26">
        <f>IFERROR(SUMIF(VENTAS!D4:D10000,D22,VENTAS!G4:G10000),0)</f>
        <v>0</v>
      </c>
      <c r="V22" s="27" t="str">
        <f t="shared" si="0"/>
        <v>🔴 Bajo</v>
      </c>
      <c r="W22" s="28"/>
      <c r="X22" s="27" t="str">
        <f>IFERROR(VLOOKUP(D22,INVENTARIO!C4:K27,9,0),"Sin dato")</f>
        <v>✅ OK</v>
      </c>
    </row>
    <row r="23" spans="1:26" ht="19.5" customHeight="1" x14ac:dyDescent="0.35">
      <c r="A23" s="35" t="s">
        <v>72</v>
      </c>
      <c r="B23" s="29" t="s">
        <v>73</v>
      </c>
      <c r="C23" s="29" t="s">
        <v>73</v>
      </c>
      <c r="D23" s="30" t="s">
        <v>74</v>
      </c>
      <c r="E23" s="29" t="s">
        <v>75</v>
      </c>
      <c r="F23" s="30" t="s">
        <v>41</v>
      </c>
      <c r="G23" s="31" t="s">
        <v>42</v>
      </c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23">
        <v>0</v>
      </c>
      <c r="N23" s="23">
        <v>0</v>
      </c>
      <c r="O23" s="24">
        <v>10</v>
      </c>
      <c r="P23" s="24">
        <v>10</v>
      </c>
      <c r="Q23" s="24">
        <v>11</v>
      </c>
      <c r="R23" s="24">
        <v>12</v>
      </c>
      <c r="S23" s="24">
        <v>13</v>
      </c>
      <c r="T23" s="32">
        <f>IFERROR(SUMIF(VENTAS!D4:D10000,D23,VENTAS!J4:J10000),0)</f>
        <v>0</v>
      </c>
      <c r="U23" s="33">
        <f>IFERROR(SUMIF(VENTAS!D4:D10000,D23,VENTAS!G4:G10000),0)</f>
        <v>0</v>
      </c>
      <c r="V23" s="34" t="str">
        <f t="shared" si="0"/>
        <v>🔴 Bajo</v>
      </c>
      <c r="W23" s="28"/>
      <c r="X23" s="34" t="str">
        <f>IFERROR(VLOOKUP(D23,INVENTARIO!C4:K27,9,0),"Sin dato")</f>
        <v>✅ OK</v>
      </c>
    </row>
    <row r="24" spans="1:26" ht="19.5" customHeight="1" x14ac:dyDescent="0.35">
      <c r="A24" s="35" t="s">
        <v>72</v>
      </c>
      <c r="B24" s="20" t="s">
        <v>73</v>
      </c>
      <c r="C24" s="20" t="s">
        <v>73</v>
      </c>
      <c r="D24" s="21" t="s">
        <v>76</v>
      </c>
      <c r="E24" s="20" t="s">
        <v>77</v>
      </c>
      <c r="F24" s="21" t="s">
        <v>47</v>
      </c>
      <c r="G24" s="22" t="s">
        <v>42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4">
        <v>9</v>
      </c>
      <c r="P24" s="24">
        <v>9</v>
      </c>
      <c r="Q24" s="24">
        <v>10</v>
      </c>
      <c r="R24" s="24">
        <v>11</v>
      </c>
      <c r="S24" s="24">
        <v>12</v>
      </c>
      <c r="T24" s="25">
        <f>IFERROR(SUMIF(VENTAS!D4:D10000,D24,VENTAS!J4:J10000),0)</f>
        <v>0</v>
      </c>
      <c r="U24" s="26">
        <f>IFERROR(SUMIF(VENTAS!D4:D10000,D24,VENTAS!G4:G10000),0)</f>
        <v>0</v>
      </c>
      <c r="V24" s="27" t="str">
        <f t="shared" si="0"/>
        <v>🔴 Bajo</v>
      </c>
      <c r="W24" s="28"/>
      <c r="X24" s="27" t="str">
        <f>IFERROR(VLOOKUP(D24,INVENTARIO!C4:K27,9,0),"Sin dato")</f>
        <v>✅ OK</v>
      </c>
    </row>
    <row r="25" spans="1:26" ht="19.5" customHeight="1" x14ac:dyDescent="0.35">
      <c r="A25" s="35" t="s">
        <v>72</v>
      </c>
      <c r="B25" s="29" t="s">
        <v>78</v>
      </c>
      <c r="C25" s="29" t="s">
        <v>78</v>
      </c>
      <c r="D25" s="30" t="s">
        <v>79</v>
      </c>
      <c r="E25" s="29" t="s">
        <v>80</v>
      </c>
      <c r="F25" s="30" t="s">
        <v>47</v>
      </c>
      <c r="G25" s="31" t="s">
        <v>42</v>
      </c>
      <c r="H25" s="23">
        <v>0</v>
      </c>
      <c r="I25" s="23">
        <v>0</v>
      </c>
      <c r="J25" s="23">
        <v>0</v>
      </c>
      <c r="K25" s="23">
        <v>0</v>
      </c>
      <c r="L25" s="23">
        <v>0</v>
      </c>
      <c r="M25" s="23">
        <v>0</v>
      </c>
      <c r="N25" s="23">
        <v>0</v>
      </c>
      <c r="O25" s="24">
        <v>8</v>
      </c>
      <c r="P25" s="24">
        <v>8</v>
      </c>
      <c r="Q25" s="24">
        <v>9</v>
      </c>
      <c r="R25" s="24">
        <v>10</v>
      </c>
      <c r="S25" s="24">
        <v>11</v>
      </c>
      <c r="T25" s="32">
        <f>IFERROR(SUMIF(VENTAS!D4:D10000,D25,VENTAS!J4:J10000),0)</f>
        <v>0</v>
      </c>
      <c r="U25" s="33">
        <f>IFERROR(SUMIF(VENTAS!D4:D10000,D25,VENTAS!G4:G10000),0)</f>
        <v>0</v>
      </c>
      <c r="V25" s="34" t="str">
        <f t="shared" si="0"/>
        <v>🔴 Bajo</v>
      </c>
      <c r="W25" s="28"/>
      <c r="X25" s="34" t="str">
        <f>IFERROR(VLOOKUP(D25,INVENTARIO!C4:K27,9,0),"Sin dato")</f>
        <v>✅ OK</v>
      </c>
    </row>
    <row r="26" spans="1:26" ht="19.5" customHeight="1" x14ac:dyDescent="0.35">
      <c r="A26" s="35" t="s">
        <v>72</v>
      </c>
      <c r="B26" s="20" t="s">
        <v>81</v>
      </c>
      <c r="C26" s="20" t="s">
        <v>81</v>
      </c>
      <c r="D26" s="21" t="s">
        <v>82</v>
      </c>
      <c r="E26" s="20" t="s">
        <v>83</v>
      </c>
      <c r="F26" s="21" t="s">
        <v>41</v>
      </c>
      <c r="G26" s="22" t="s">
        <v>42</v>
      </c>
      <c r="H26" s="23">
        <v>0</v>
      </c>
      <c r="I26" s="23">
        <v>0</v>
      </c>
      <c r="J26" s="23">
        <v>0</v>
      </c>
      <c r="K26" s="23">
        <v>0</v>
      </c>
      <c r="L26" s="23">
        <v>0</v>
      </c>
      <c r="M26" s="23">
        <v>0</v>
      </c>
      <c r="N26" s="23">
        <v>0</v>
      </c>
      <c r="O26" s="24">
        <v>11</v>
      </c>
      <c r="P26" s="24">
        <v>11</v>
      </c>
      <c r="Q26" s="24">
        <v>12</v>
      </c>
      <c r="R26" s="24">
        <v>13</v>
      </c>
      <c r="S26" s="24">
        <v>14</v>
      </c>
      <c r="T26" s="25">
        <f>IFERROR(SUMIF(VENTAS!D4:D10000,D26,VENTAS!J4:J10000),0)</f>
        <v>0</v>
      </c>
      <c r="U26" s="26">
        <f>IFERROR(SUMIF(VENTAS!D4:D10000,D26,VENTAS!G4:G10000),0)</f>
        <v>0</v>
      </c>
      <c r="V26" s="27" t="str">
        <f t="shared" si="0"/>
        <v>🔴 Bajo</v>
      </c>
      <c r="W26" s="28"/>
      <c r="X26" s="27" t="str">
        <f>IFERROR(VLOOKUP(D26,INVENTARIO!C4:K27,9,0),"Sin dato")</f>
        <v>✅ OK</v>
      </c>
    </row>
    <row r="27" spans="1:26" ht="19.5" customHeight="1" x14ac:dyDescent="0.35">
      <c r="A27" s="36" t="s">
        <v>84</v>
      </c>
      <c r="B27" s="29" t="s">
        <v>85</v>
      </c>
      <c r="C27" s="29" t="s">
        <v>85</v>
      </c>
      <c r="D27" s="30" t="s">
        <v>86</v>
      </c>
      <c r="E27" s="29" t="s">
        <v>87</v>
      </c>
      <c r="F27" s="30" t="s">
        <v>41</v>
      </c>
      <c r="G27" s="31" t="s">
        <v>42</v>
      </c>
      <c r="H27" s="23">
        <v>0</v>
      </c>
      <c r="I27" s="23">
        <v>0</v>
      </c>
      <c r="J27" s="23">
        <v>0</v>
      </c>
      <c r="K27" s="23">
        <v>0</v>
      </c>
      <c r="L27" s="23">
        <v>0</v>
      </c>
      <c r="M27" s="23">
        <v>0</v>
      </c>
      <c r="N27" s="23">
        <v>0</v>
      </c>
      <c r="O27" s="24">
        <v>12</v>
      </c>
      <c r="P27" s="24">
        <v>14</v>
      </c>
      <c r="Q27" s="24">
        <v>16</v>
      </c>
      <c r="R27" s="24">
        <v>18</v>
      </c>
      <c r="S27" s="24">
        <v>20</v>
      </c>
      <c r="T27" s="32">
        <f>IFERROR(SUMIF(VENTAS!D4:D10000,D27,VENTAS!J4:J10000),0)</f>
        <v>0</v>
      </c>
      <c r="U27" s="33">
        <f>IFERROR(SUMIF(VENTAS!D4:D10000,D27,VENTAS!G4:G10000),0)</f>
        <v>0</v>
      </c>
      <c r="V27" s="34" t="str">
        <f t="shared" si="0"/>
        <v>🔴 Bajo</v>
      </c>
      <c r="W27" s="28"/>
      <c r="X27" s="34" t="str">
        <f>IFERROR(VLOOKUP(D27,INVENTARIO!C4:K27,9,0),"Sin dato")</f>
        <v>✅ OK</v>
      </c>
    </row>
    <row r="28" spans="1:26" ht="19.5" customHeight="1" x14ac:dyDescent="0.35">
      <c r="A28" s="36" t="s">
        <v>84</v>
      </c>
      <c r="B28" s="20" t="s">
        <v>85</v>
      </c>
      <c r="C28" s="20" t="s">
        <v>85</v>
      </c>
      <c r="D28" s="21" t="s">
        <v>88</v>
      </c>
      <c r="E28" s="20" t="s">
        <v>89</v>
      </c>
      <c r="F28" s="21" t="s">
        <v>47</v>
      </c>
      <c r="G28" s="22" t="s">
        <v>42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3">
        <v>0</v>
      </c>
      <c r="O28" s="24">
        <v>10</v>
      </c>
      <c r="P28" s="24">
        <v>12</v>
      </c>
      <c r="Q28" s="24">
        <v>14</v>
      </c>
      <c r="R28" s="24">
        <v>16</v>
      </c>
      <c r="S28" s="24">
        <v>18</v>
      </c>
      <c r="T28" s="25">
        <f>IFERROR(SUMIF(VENTAS!D4:D10000,D28,VENTAS!J4:J10000),0)</f>
        <v>0</v>
      </c>
      <c r="U28" s="26">
        <f>IFERROR(SUMIF(VENTAS!D4:D10000,D28,VENTAS!G4:G10000),0)</f>
        <v>0</v>
      </c>
      <c r="V28" s="27" t="str">
        <f t="shared" si="0"/>
        <v>🔴 Bajo</v>
      </c>
      <c r="W28" s="28"/>
      <c r="X28" s="27" t="str">
        <f>IFERROR(VLOOKUP(D28,INVENTARIO!C4:K27,9,0),"Sin dato")</f>
        <v>✅ OK</v>
      </c>
    </row>
    <row r="29" spans="1:26" ht="19.5" customHeight="1" x14ac:dyDescent="0.35">
      <c r="A29" s="37" t="s">
        <v>90</v>
      </c>
      <c r="B29" s="29" t="s">
        <v>91</v>
      </c>
      <c r="C29" s="29" t="s">
        <v>91</v>
      </c>
      <c r="D29" s="30" t="s">
        <v>92</v>
      </c>
      <c r="E29" s="29" t="s">
        <v>93</v>
      </c>
      <c r="F29" s="30" t="s">
        <v>41</v>
      </c>
      <c r="G29" s="31" t="s">
        <v>42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4">
        <v>5</v>
      </c>
      <c r="P29" s="24">
        <v>5</v>
      </c>
      <c r="Q29" s="24">
        <v>4</v>
      </c>
      <c r="R29" s="24">
        <v>4</v>
      </c>
      <c r="S29" s="24">
        <v>5</v>
      </c>
      <c r="T29" s="32">
        <f>IFERROR(SUMIF(VENTAS!D4:D10000,D29,VENTAS!J4:J10000),0)</f>
        <v>0</v>
      </c>
      <c r="U29" s="33">
        <f>IFERROR(SUMIF(VENTAS!D4:D10000,D29,VENTAS!G4:G10000),0)</f>
        <v>0</v>
      </c>
      <c r="V29" s="34" t="str">
        <f t="shared" si="0"/>
        <v>🔴 Bajo</v>
      </c>
      <c r="W29" s="28"/>
      <c r="X29" s="34" t="str">
        <f>IFERROR(VLOOKUP(D29,INVENTARIO!C4:K27,9,0),"Sin dato")</f>
        <v>✅ OK</v>
      </c>
    </row>
    <row r="30" spans="1:26" ht="19.5" customHeight="1" x14ac:dyDescent="0.35">
      <c r="A30" s="38" t="s">
        <v>94</v>
      </c>
      <c r="B30" s="20" t="s">
        <v>95</v>
      </c>
      <c r="C30" s="20" t="s">
        <v>95</v>
      </c>
      <c r="D30" s="21" t="s">
        <v>96</v>
      </c>
      <c r="E30" s="20" t="s">
        <v>97</v>
      </c>
      <c r="F30" s="21" t="s">
        <v>41</v>
      </c>
      <c r="G30" s="39" t="s">
        <v>98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4">
        <v>8</v>
      </c>
      <c r="R30" s="24">
        <v>10</v>
      </c>
      <c r="S30" s="24">
        <v>12</v>
      </c>
      <c r="T30" s="25">
        <f>IFERROR(SUMIF(VENTAS!D4:D10000,D30,VENTAS!J4:J10000),0)</f>
        <v>0</v>
      </c>
      <c r="U30" s="26">
        <f>IFERROR(SUMIF(VENTAS!D4:D10000,D30,VENTAS!G4:G10000),0)</f>
        <v>0</v>
      </c>
      <c r="V30" s="27" t="str">
        <f t="shared" si="0"/>
        <v>🔴 Bajo</v>
      </c>
      <c r="W30" s="28"/>
      <c r="X30" s="27" t="str">
        <f>IFERROR(VLOOKUP(D30,INVENTARIO!C4:K27,9,0),"Sin dato")</f>
        <v>✅ OK</v>
      </c>
      <c r="Z30" t="s">
        <v>290</v>
      </c>
    </row>
    <row r="31" spans="1:26" ht="15" customHeight="1" x14ac:dyDescent="0.35">
      <c r="A31" s="1" t="s">
        <v>99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40">
        <f>SUBTOTAL(9,T8:T30)</f>
        <v>0</v>
      </c>
      <c r="U31" s="41">
        <f>SUBTOTAL(9,U8:U30)</f>
        <v>0</v>
      </c>
      <c r="V31" s="42"/>
      <c r="W31" s="42"/>
      <c r="X31" s="42"/>
    </row>
    <row r="33" spans="1:24" ht="15" customHeight="1" x14ac:dyDescent="0.35">
      <c r="A33" s="13" t="s">
        <v>100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</row>
  </sheetData>
  <autoFilter ref="A7:X30" xr:uid="{00000000-0009-0000-0000-000000000000}"/>
  <mergeCells count="21">
    <mergeCell ref="A31:S31"/>
    <mergeCell ref="A33:X33"/>
    <mergeCell ref="P4:R4"/>
    <mergeCell ref="A5:X5"/>
    <mergeCell ref="A6:G6"/>
    <mergeCell ref="H6:S6"/>
    <mergeCell ref="T6:V6"/>
    <mergeCell ref="W6:X6"/>
    <mergeCell ref="A4:C4"/>
    <mergeCell ref="D4:F4"/>
    <mergeCell ref="G4:I4"/>
    <mergeCell ref="J4:L4"/>
    <mergeCell ref="M4:O4"/>
    <mergeCell ref="A1:X1"/>
    <mergeCell ref="A2:X2"/>
    <mergeCell ref="A3:C3"/>
    <mergeCell ref="D3:F3"/>
    <mergeCell ref="G3:I3"/>
    <mergeCell ref="J3:L3"/>
    <mergeCell ref="M3:O3"/>
    <mergeCell ref="P3:R3"/>
  </mergeCells>
  <dataValidations count="2">
    <dataValidation type="list" allowBlank="1" sqref="F8:F30" xr:uid="{00000000-0002-0000-0000-000000000000}">
      <formula1>"JI,Ana"</formula1>
      <formula2>0</formula2>
    </dataValidation>
    <dataValidation type="list" allowBlank="1" sqref="G8:G30" xr:uid="{00000000-0002-0000-0000-000001000000}">
      <formula1>"Activo,Prospecto,En negociación,Suspendido,Inactivo"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showGridLines="0" zoomScaleNormal="100" workbookViewId="0">
      <selection activeCell="A13" sqref="A13"/>
    </sheetView>
  </sheetViews>
  <sheetFormatPr baseColWidth="10" defaultColWidth="8.6328125" defaultRowHeight="14.5" x14ac:dyDescent="0.35"/>
  <cols>
    <col min="1" max="1" width="18" customWidth="1"/>
    <col min="2" max="3" width="14" customWidth="1"/>
    <col min="4" max="4" width="12" customWidth="1"/>
    <col min="5" max="5" width="14" customWidth="1"/>
    <col min="6" max="6" width="12" customWidth="1"/>
  </cols>
  <sheetData>
    <row r="1" spans="1:10" ht="36" customHeight="1" x14ac:dyDescent="0.35">
      <c r="A1" s="14" t="s">
        <v>101</v>
      </c>
      <c r="B1" s="14"/>
      <c r="C1" s="14"/>
      <c r="D1" s="14"/>
      <c r="E1" s="14"/>
      <c r="F1" s="14"/>
      <c r="G1" s="14"/>
      <c r="H1" s="14"/>
      <c r="I1" s="14"/>
      <c r="J1" s="14"/>
    </row>
    <row r="3" spans="1:10" ht="19.5" customHeight="1" x14ac:dyDescent="0.35">
      <c r="A3" s="115" t="s">
        <v>102</v>
      </c>
      <c r="B3" s="115"/>
      <c r="C3" s="115"/>
      <c r="D3" s="115"/>
      <c r="E3" s="115"/>
      <c r="F3" s="115"/>
    </row>
    <row r="4" spans="1:10" ht="15" customHeight="1" x14ac:dyDescent="0.35">
      <c r="A4" s="43" t="s">
        <v>103</v>
      </c>
      <c r="B4" s="44">
        <v>0.19</v>
      </c>
      <c r="C4" s="116" t="s">
        <v>104</v>
      </c>
      <c r="D4" s="116"/>
      <c r="E4" s="116"/>
      <c r="F4" s="116"/>
    </row>
    <row r="5" spans="1:10" ht="15" customHeight="1" x14ac:dyDescent="0.35">
      <c r="A5" s="43" t="s">
        <v>105</v>
      </c>
      <c r="B5" s="45">
        <v>1900</v>
      </c>
      <c r="C5" s="116" t="s">
        <v>106</v>
      </c>
      <c r="D5" s="116"/>
      <c r="E5" s="116"/>
      <c r="F5" s="116"/>
    </row>
    <row r="6" spans="1:10" ht="15" customHeight="1" x14ac:dyDescent="0.35">
      <c r="A6" s="43" t="s">
        <v>107</v>
      </c>
      <c r="B6" s="45">
        <v>5900</v>
      </c>
      <c r="C6" s="116" t="s">
        <v>108</v>
      </c>
      <c r="D6" s="116"/>
      <c r="E6" s="116"/>
      <c r="F6" s="116"/>
    </row>
    <row r="7" spans="1:10" ht="15" customHeight="1" x14ac:dyDescent="0.35">
      <c r="A7" s="43" t="s">
        <v>109</v>
      </c>
      <c r="B7" s="45">
        <v>250</v>
      </c>
      <c r="C7" s="116" t="s">
        <v>110</v>
      </c>
      <c r="D7" s="116"/>
      <c r="E7" s="116"/>
      <c r="F7" s="116"/>
    </row>
    <row r="8" spans="1:10" ht="15" customHeight="1" x14ac:dyDescent="0.35">
      <c r="A8" s="43" t="s">
        <v>111</v>
      </c>
      <c r="B8" s="46">
        <v>2026</v>
      </c>
      <c r="C8" s="116" t="s">
        <v>112</v>
      </c>
      <c r="D8" s="116"/>
      <c r="E8" s="116"/>
      <c r="F8" s="116"/>
    </row>
    <row r="9" spans="1:10" ht="18" customHeight="1" x14ac:dyDescent="0.35">
      <c r="A9" s="5" t="s">
        <v>113</v>
      </c>
      <c r="B9" s="5"/>
      <c r="C9" s="5"/>
      <c r="D9" s="5"/>
      <c r="E9" s="5"/>
      <c r="F9" s="5"/>
    </row>
    <row r="11" spans="1:10" ht="19.5" customHeight="1" x14ac:dyDescent="0.35">
      <c r="A11" s="115" t="s">
        <v>114</v>
      </c>
      <c r="B11" s="115"/>
      <c r="C11" s="115"/>
      <c r="D11" s="115"/>
      <c r="E11" s="115"/>
      <c r="F11" s="115"/>
    </row>
    <row r="12" spans="1:10" ht="15" customHeight="1" x14ac:dyDescent="0.35">
      <c r="A12" s="47" t="s">
        <v>115</v>
      </c>
      <c r="B12" s="47" t="s">
        <v>116</v>
      </c>
      <c r="C12" s="47" t="s">
        <v>117</v>
      </c>
      <c r="D12" s="47" t="s">
        <v>118</v>
      </c>
      <c r="E12" s="47" t="s">
        <v>119</v>
      </c>
      <c r="F12" s="47" t="s">
        <v>120</v>
      </c>
    </row>
    <row r="13" spans="1:10" ht="15" customHeight="1" x14ac:dyDescent="0.35">
      <c r="A13" s="48" t="s">
        <v>121</v>
      </c>
      <c r="B13" s="48" t="s">
        <v>122</v>
      </c>
      <c r="C13" s="48" t="s">
        <v>123</v>
      </c>
      <c r="D13" s="48" t="s">
        <v>124</v>
      </c>
      <c r="E13" s="48">
        <v>1900</v>
      </c>
      <c r="F13" s="49">
        <f>ROUND(E13/(1+CONFIG!$B$4),0)</f>
        <v>1597</v>
      </c>
      <c r="H13" t="s">
        <v>289</v>
      </c>
    </row>
    <row r="14" spans="1:10" ht="15" customHeight="1" x14ac:dyDescent="0.35">
      <c r="A14" s="50" t="s">
        <v>125</v>
      </c>
      <c r="B14" s="50" t="s">
        <v>126</v>
      </c>
      <c r="C14" s="50" t="s">
        <v>127</v>
      </c>
      <c r="D14" s="50" t="s">
        <v>124</v>
      </c>
      <c r="E14" s="50">
        <v>1900</v>
      </c>
      <c r="F14" s="51">
        <f>ROUND(E14/(1+CONFIG!$B$4),0)</f>
        <v>1597</v>
      </c>
    </row>
    <row r="15" spans="1:10" ht="15" customHeight="1" x14ac:dyDescent="0.35">
      <c r="A15" s="48" t="s">
        <v>128</v>
      </c>
      <c r="B15" s="48" t="s">
        <v>129</v>
      </c>
      <c r="C15" s="48" t="s">
        <v>130</v>
      </c>
      <c r="D15" s="48" t="s">
        <v>124</v>
      </c>
      <c r="E15" s="48">
        <v>1900</v>
      </c>
      <c r="F15" s="49">
        <f>ROUND(E15/(1+CONFIG!$B$4),0)</f>
        <v>1597</v>
      </c>
    </row>
    <row r="16" spans="1:10" ht="15" customHeight="1" x14ac:dyDescent="0.35">
      <c r="A16" s="50" t="s">
        <v>131</v>
      </c>
      <c r="B16" s="50" t="s">
        <v>132</v>
      </c>
      <c r="C16" s="50" t="s">
        <v>123</v>
      </c>
      <c r="D16" s="50" t="s">
        <v>133</v>
      </c>
      <c r="E16" s="50">
        <v>5900</v>
      </c>
      <c r="F16" s="51">
        <f>ROUND(E16/(1+CONFIG!$B$4),0)</f>
        <v>4958</v>
      </c>
    </row>
    <row r="17" spans="1:6" ht="15" customHeight="1" x14ac:dyDescent="0.35">
      <c r="A17" s="48" t="s">
        <v>134</v>
      </c>
      <c r="B17" s="48" t="s">
        <v>135</v>
      </c>
      <c r="C17" s="48" t="s">
        <v>127</v>
      </c>
      <c r="D17" s="48" t="s">
        <v>133</v>
      </c>
      <c r="E17" s="48">
        <v>5900</v>
      </c>
      <c r="F17" s="49">
        <f>ROUND(E17/(1+CONFIG!$B$4),0)</f>
        <v>4958</v>
      </c>
    </row>
    <row r="18" spans="1:6" ht="15" customHeight="1" x14ac:dyDescent="0.35">
      <c r="A18" s="50" t="s">
        <v>136</v>
      </c>
      <c r="B18" s="50" t="s">
        <v>137</v>
      </c>
      <c r="C18" s="50" t="s">
        <v>130</v>
      </c>
      <c r="D18" s="50" t="s">
        <v>133</v>
      </c>
      <c r="E18" s="50">
        <v>5900</v>
      </c>
      <c r="F18" s="51">
        <f>ROUND(E18/(1+CONFIG!$B$4),0)</f>
        <v>4958</v>
      </c>
    </row>
  </sheetData>
  <mergeCells count="9">
    <mergeCell ref="C7:F7"/>
    <mergeCell ref="C8:F8"/>
    <mergeCell ref="A9:F9"/>
    <mergeCell ref="A11:F11"/>
    <mergeCell ref="A1:J1"/>
    <mergeCell ref="A3:F3"/>
    <mergeCell ref="C4:F4"/>
    <mergeCell ref="C5:F5"/>
    <mergeCell ref="C6:F6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4"/>
  <sheetViews>
    <sheetView showGridLines="0" zoomScaleNormal="100" workbookViewId="0">
      <pane ySplit="3" topLeftCell="A4" activePane="bottomLeft" state="frozen"/>
      <selection pane="bottomLeft" activeCell="F25" sqref="F25"/>
    </sheetView>
  </sheetViews>
  <sheetFormatPr baseColWidth="10" defaultColWidth="8.6328125" defaultRowHeight="14.5" x14ac:dyDescent="0.35"/>
  <cols>
    <col min="1" max="1" width="4" customWidth="1"/>
    <col min="2" max="2" width="11" customWidth="1"/>
    <col min="3" max="3" width="20" customWidth="1"/>
    <col min="4" max="4" width="14" customWidth="1"/>
    <col min="5" max="5" width="7" customWidth="1"/>
    <col min="6" max="6" width="22" customWidth="1"/>
    <col min="7" max="7" width="8" customWidth="1"/>
    <col min="8" max="8" width="9" customWidth="1"/>
    <col min="9" max="9" width="12" customWidth="1"/>
    <col min="10" max="11" width="13" customWidth="1"/>
    <col min="12" max="12" width="12" customWidth="1"/>
    <col min="13" max="13" width="11" customWidth="1"/>
    <col min="14" max="14" width="7" customWidth="1"/>
    <col min="15" max="15" width="12" customWidth="1"/>
    <col min="16" max="16" width="14" customWidth="1"/>
  </cols>
  <sheetData>
    <row r="1" spans="1:18" ht="36" customHeight="1" x14ac:dyDescent="0.35">
      <c r="A1" s="14" t="s">
        <v>138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8" ht="18" customHeight="1" x14ac:dyDescent="0.35">
      <c r="A2" s="117" t="s">
        <v>139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</row>
    <row r="3" spans="1:18" ht="36" customHeight="1" x14ac:dyDescent="0.35">
      <c r="A3" s="52" t="s">
        <v>140</v>
      </c>
      <c r="B3" s="52" t="s">
        <v>141</v>
      </c>
      <c r="C3" s="52" t="s">
        <v>13</v>
      </c>
      <c r="D3" s="52" t="s">
        <v>14</v>
      </c>
      <c r="E3" s="52" t="s">
        <v>142</v>
      </c>
      <c r="F3" s="52" t="s">
        <v>143</v>
      </c>
      <c r="G3" s="52" t="s">
        <v>4</v>
      </c>
      <c r="H3" s="52" t="s">
        <v>144</v>
      </c>
      <c r="I3" s="52" t="s">
        <v>145</v>
      </c>
      <c r="J3" s="52" t="s">
        <v>146</v>
      </c>
      <c r="K3" s="52" t="s">
        <v>147</v>
      </c>
      <c r="L3" s="52" t="s">
        <v>148</v>
      </c>
      <c r="M3" s="52" t="s">
        <v>149</v>
      </c>
      <c r="N3" s="52" t="s">
        <v>150</v>
      </c>
      <c r="O3" s="52" t="s">
        <v>151</v>
      </c>
      <c r="P3" s="52" t="s">
        <v>18</v>
      </c>
    </row>
    <row r="4" spans="1:18" ht="15" customHeight="1" x14ac:dyDescent="0.35">
      <c r="A4" s="21">
        <v>1</v>
      </c>
      <c r="B4" s="21" t="s">
        <v>152</v>
      </c>
      <c r="C4" s="35" t="s">
        <v>72</v>
      </c>
      <c r="D4" s="20" t="s">
        <v>73</v>
      </c>
      <c r="E4" s="20" t="s">
        <v>74</v>
      </c>
      <c r="F4" s="20" t="s">
        <v>75</v>
      </c>
      <c r="G4" s="53">
        <v>12</v>
      </c>
      <c r="H4" s="54">
        <v>10</v>
      </c>
      <c r="I4" s="55">
        <v>1900</v>
      </c>
      <c r="J4" s="25">
        <f>ROUND(G4*I4/(1+CONFIG!$B$4),0)</f>
        <v>19160</v>
      </c>
      <c r="K4" s="56">
        <f>G4*CONFIG!$B$7</f>
        <v>3000</v>
      </c>
      <c r="L4" s="25">
        <f>J4-K4</f>
        <v>16160</v>
      </c>
      <c r="M4" s="57" t="s">
        <v>153</v>
      </c>
      <c r="N4" s="58">
        <v>30</v>
      </c>
      <c r="O4" s="59">
        <f>IFERROR(DATEVALUE(B4)+N4,"")</f>
        <v>46057</v>
      </c>
      <c r="P4" s="21" t="s">
        <v>154</v>
      </c>
    </row>
    <row r="5" spans="1:18" ht="15" customHeight="1" x14ac:dyDescent="0.35">
      <c r="A5" s="30">
        <v>2</v>
      </c>
      <c r="B5" s="30" t="s">
        <v>155</v>
      </c>
      <c r="C5" s="35" t="s">
        <v>72</v>
      </c>
      <c r="D5" s="29" t="s">
        <v>73</v>
      </c>
      <c r="E5" s="29" t="s">
        <v>76</v>
      </c>
      <c r="F5" s="29" t="s">
        <v>77</v>
      </c>
      <c r="G5" s="53">
        <v>8</v>
      </c>
      <c r="H5" s="54">
        <v>6</v>
      </c>
      <c r="I5" s="55">
        <v>1900</v>
      </c>
      <c r="J5" s="32">
        <f>ROUND(G5*I5/(1+CONFIG!$B$4),0)</f>
        <v>12773</v>
      </c>
      <c r="K5" s="60">
        <f>G5*CONFIG!$B$7</f>
        <v>2000</v>
      </c>
      <c r="L5" s="32">
        <f>J5-K5</f>
        <v>10773</v>
      </c>
      <c r="M5" s="61" t="s">
        <v>153</v>
      </c>
      <c r="N5" s="58">
        <v>30</v>
      </c>
      <c r="O5" s="62">
        <f>IFERROR(DATEVALUE(B5)+N5,"")</f>
        <v>46058</v>
      </c>
      <c r="P5" s="30" t="s">
        <v>154</v>
      </c>
      <c r="R5" t="s">
        <v>288</v>
      </c>
    </row>
    <row r="6" spans="1:18" ht="15" customHeight="1" x14ac:dyDescent="0.35">
      <c r="A6" s="21">
        <v>3</v>
      </c>
      <c r="B6" s="21" t="s">
        <v>156</v>
      </c>
      <c r="C6" s="35" t="s">
        <v>72</v>
      </c>
      <c r="D6" s="20" t="s">
        <v>81</v>
      </c>
      <c r="E6" s="20" t="s">
        <v>82</v>
      </c>
      <c r="F6" s="20" t="s">
        <v>83</v>
      </c>
      <c r="G6" s="53">
        <v>9</v>
      </c>
      <c r="H6" s="54"/>
      <c r="I6" s="55">
        <v>1900</v>
      </c>
      <c r="J6" s="25">
        <f>ROUND(G6*I6/(1+CONFIG!$B$4),0)</f>
        <v>14370</v>
      </c>
      <c r="K6" s="56">
        <f>G6*CONFIG!$B$7</f>
        <v>2250</v>
      </c>
      <c r="L6" s="25">
        <f>J6-K6</f>
        <v>12120</v>
      </c>
      <c r="M6" s="63" t="s">
        <v>157</v>
      </c>
      <c r="N6" s="58">
        <v>30</v>
      </c>
      <c r="O6" s="59">
        <f>IFERROR(DATEVALUE(B6)+N6,"")</f>
        <v>46059</v>
      </c>
      <c r="P6" s="21" t="s">
        <v>158</v>
      </c>
    </row>
    <row r="7" spans="1:18" ht="15" customHeight="1" x14ac:dyDescent="0.35">
      <c r="A7" s="30">
        <v>4</v>
      </c>
      <c r="B7" s="30" t="s">
        <v>159</v>
      </c>
      <c r="C7" s="37" t="s">
        <v>90</v>
      </c>
      <c r="D7" s="29" t="s">
        <v>91</v>
      </c>
      <c r="E7" s="29" t="s">
        <v>92</v>
      </c>
      <c r="F7" s="29" t="s">
        <v>93</v>
      </c>
      <c r="G7" s="53">
        <v>5</v>
      </c>
      <c r="H7" s="54">
        <v>4</v>
      </c>
      <c r="I7" s="55">
        <v>5900</v>
      </c>
      <c r="J7" s="32">
        <f>ROUND(G7*I7/(1+CONFIG!$B$4),0)</f>
        <v>24790</v>
      </c>
      <c r="K7" s="60">
        <f>G7*CONFIG!$B$7</f>
        <v>1250</v>
      </c>
      <c r="L7" s="32">
        <f>J7-K7</f>
        <v>23540</v>
      </c>
      <c r="M7" s="61" t="s">
        <v>153</v>
      </c>
      <c r="N7" s="58">
        <v>30</v>
      </c>
      <c r="O7" s="62">
        <f>IFERROR(DATEVALUE(B7)+N7,"")</f>
        <v>46061</v>
      </c>
      <c r="P7" s="30" t="s">
        <v>158</v>
      </c>
    </row>
    <row r="8" spans="1:18" ht="15" customHeight="1" x14ac:dyDescent="0.35">
      <c r="A8" s="21">
        <v>5</v>
      </c>
      <c r="B8" s="21" t="s">
        <v>160</v>
      </c>
      <c r="C8" s="38" t="s">
        <v>94</v>
      </c>
      <c r="D8" s="20" t="s">
        <v>95</v>
      </c>
      <c r="E8" s="20" t="s">
        <v>96</v>
      </c>
      <c r="F8" s="20" t="s">
        <v>97</v>
      </c>
      <c r="G8" s="53">
        <v>8</v>
      </c>
      <c r="H8" s="54">
        <v>8</v>
      </c>
      <c r="I8" s="55">
        <v>5900</v>
      </c>
      <c r="J8" s="25">
        <f>ROUND(G8*I8/(1+CONFIG!$B$4),0)</f>
        <v>39664</v>
      </c>
      <c r="K8" s="56">
        <f>G8*CONFIG!$B$7</f>
        <v>2000</v>
      </c>
      <c r="L8" s="25">
        <f>J8-K8</f>
        <v>37664</v>
      </c>
      <c r="M8" s="63" t="s">
        <v>157</v>
      </c>
      <c r="N8" s="58">
        <v>30</v>
      </c>
      <c r="O8" s="59">
        <f>IFERROR(DATEVALUE(B8)+N8,"")</f>
        <v>46064</v>
      </c>
      <c r="P8" s="21" t="s">
        <v>158</v>
      </c>
    </row>
    <row r="9" spans="1:18" x14ac:dyDescent="0.35">
      <c r="A9" s="125">
        <v>6</v>
      </c>
      <c r="B9" s="129">
        <v>46179</v>
      </c>
      <c r="C9" s="123" t="s">
        <v>36</v>
      </c>
      <c r="D9" s="124" t="s">
        <v>37</v>
      </c>
      <c r="E9" s="124" t="s">
        <v>39</v>
      </c>
      <c r="F9" t="s">
        <v>40</v>
      </c>
      <c r="G9" s="126">
        <v>50</v>
      </c>
      <c r="H9" s="127">
        <v>5</v>
      </c>
      <c r="I9" s="55">
        <v>5900</v>
      </c>
      <c r="J9" s="25">
        <f>ROUND(G9*I9/(1+CONFIG!$B$4),0)</f>
        <v>247899</v>
      </c>
      <c r="K9" s="56">
        <f>G9*CONFIG!$B$7</f>
        <v>12500</v>
      </c>
      <c r="L9" s="25">
        <f>J9-K9</f>
        <v>235399</v>
      </c>
      <c r="M9" s="63" t="s">
        <v>157</v>
      </c>
      <c r="N9" s="128">
        <v>30</v>
      </c>
      <c r="O9" s="59" t="str">
        <f>IFERROR(DATEVALUE(B9)+N9,"")</f>
        <v/>
      </c>
    </row>
    <row r="10" spans="1:18" ht="15" customHeight="1" x14ac:dyDescent="0.35">
      <c r="A10" s="1" t="s">
        <v>161</v>
      </c>
      <c r="B10" s="1"/>
      <c r="C10" s="1"/>
      <c r="D10" s="1"/>
      <c r="E10" s="1"/>
      <c r="F10" s="1"/>
      <c r="G10" s="1"/>
      <c r="H10" s="1"/>
      <c r="I10" s="1"/>
      <c r="J10" s="40">
        <f ca="1">SUBTOTAL(9,J4:J10000)</f>
        <v>110757</v>
      </c>
      <c r="K10" s="40">
        <f ca="1">SUBTOTAL(9,K4:K10000)</f>
        <v>10500</v>
      </c>
      <c r="L10" s="40">
        <f ca="1">SUBTOTAL(9,L4:L10000)</f>
        <v>100257</v>
      </c>
      <c r="M10" s="42"/>
      <c r="N10" s="42"/>
      <c r="O10" s="42"/>
      <c r="P10" s="42"/>
    </row>
    <row r="13" spans="1:18" x14ac:dyDescent="0.35">
      <c r="A13" t="s">
        <v>283</v>
      </c>
    </row>
    <row r="14" spans="1:18" x14ac:dyDescent="0.35">
      <c r="B14" t="s">
        <v>282</v>
      </c>
    </row>
  </sheetData>
  <autoFilter ref="A3:P3" xr:uid="{00000000-0009-0000-0000-000002000000}"/>
  <mergeCells count="3">
    <mergeCell ref="A1:P1"/>
    <mergeCell ref="A2:P2"/>
    <mergeCell ref="A10:I10"/>
  </mergeCells>
  <phoneticPr fontId="45" type="noConversion"/>
  <dataValidations count="3">
    <dataValidation type="list" allowBlank="1" sqref="M4:M1010" xr:uid="{00000000-0002-0000-0200-000000000000}">
      <formula1>"Emitida,Pagada,Vencida,Por emitir"</formula1>
      <formula2>0</formula2>
    </dataValidation>
    <dataValidation type="list" allowBlank="1" sqref="P4:P1010" xr:uid="{00000000-0002-0000-0200-000001000000}">
      <formula1>"José Ignacio,Ana Barra"</formula1>
      <formula2>0</formula2>
    </dataValidation>
    <dataValidation type="list" allowBlank="1" sqref="C4:C1010" xr:uid="{00000000-0002-0000-0200-000002000000}">
      <formula1>"Retail Moderno,Canal Especializado,Canal Conveniencia,Canal Turístico,HoReCa"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8"/>
  <sheetViews>
    <sheetView showGridLines="0" zoomScaleNormal="100" workbookViewId="0">
      <pane ySplit="3" topLeftCell="A4" activePane="bottomLeft" state="frozen"/>
      <selection pane="bottomLeft" activeCell="K3" sqref="K3"/>
    </sheetView>
  </sheetViews>
  <sheetFormatPr baseColWidth="10" defaultColWidth="8.6328125" defaultRowHeight="14.5" x14ac:dyDescent="0.35"/>
  <cols>
    <col min="1" max="1" width="18" customWidth="1"/>
    <col min="2" max="2" width="14" customWidth="1"/>
    <col min="3" max="3" width="7" customWidth="1"/>
    <col min="4" max="4" width="24" customWidth="1"/>
    <col min="5" max="5" width="6" customWidth="1"/>
    <col min="6" max="8" width="10" customWidth="1"/>
    <col min="9" max="9" width="8" customWidth="1"/>
    <col min="10" max="10" width="12" customWidth="1"/>
    <col min="11" max="11" width="14" customWidth="1"/>
  </cols>
  <sheetData>
    <row r="1" spans="1:14" ht="36" customHeight="1" x14ac:dyDescent="0.35">
      <c r="A1" s="14" t="s">
        <v>162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4" ht="18" customHeight="1" x14ac:dyDescent="0.35">
      <c r="A2" s="5" t="s">
        <v>163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4" ht="31.5" customHeight="1" x14ac:dyDescent="0.35">
      <c r="A3" s="52" t="s">
        <v>13</v>
      </c>
      <c r="B3" s="52" t="s">
        <v>14</v>
      </c>
      <c r="C3" s="52" t="s">
        <v>142</v>
      </c>
      <c r="D3" s="52" t="s">
        <v>143</v>
      </c>
      <c r="E3" s="52" t="s">
        <v>18</v>
      </c>
      <c r="F3" s="52" t="s">
        <v>164</v>
      </c>
      <c r="G3" s="52" t="s">
        <v>165</v>
      </c>
      <c r="H3" s="52" t="s">
        <v>166</v>
      </c>
      <c r="I3" s="52" t="s">
        <v>167</v>
      </c>
      <c r="J3" s="52" t="s">
        <v>168</v>
      </c>
      <c r="K3" s="52" t="s">
        <v>169</v>
      </c>
    </row>
    <row r="4" spans="1:14" ht="15" customHeight="1" x14ac:dyDescent="0.35">
      <c r="A4" s="19" t="s">
        <v>36</v>
      </c>
      <c r="B4" s="20" t="s">
        <v>37</v>
      </c>
      <c r="C4" s="20" t="s">
        <v>39</v>
      </c>
      <c r="D4" s="20" t="s">
        <v>40</v>
      </c>
      <c r="E4" s="20" t="s">
        <v>41</v>
      </c>
      <c r="F4" s="24">
        <v>50</v>
      </c>
      <c r="G4" s="64">
        <f>IFERROR(SUMIF(VENTAS!E4:E10000,C4,VENTAS!G4:G10000),0)</f>
        <v>50</v>
      </c>
      <c r="H4" s="65">
        <f>F4-G4</f>
        <v>0</v>
      </c>
      <c r="I4" s="54">
        <v>15</v>
      </c>
      <c r="J4" s="66">
        <f>IF(G4=0,"Sin dato",IFERROR(SUMIF(VENTAS!E4:E10000,C4,VENTAS!H4:H10000)/G4,0))</f>
        <v>0.1</v>
      </c>
      <c r="K4" s="67" t="str">
        <f t="shared" ref="K4:K26" si="0">IF(H4&lt;=0,"🔴 Sin stock",IF(H4&lt;=I4,"🟡 Stock bajo","✅ OK"))</f>
        <v>🔴 Sin stock</v>
      </c>
      <c r="N4" t="s">
        <v>279</v>
      </c>
    </row>
    <row r="5" spans="1:14" ht="15" customHeight="1" x14ac:dyDescent="0.35">
      <c r="A5" s="19" t="s">
        <v>36</v>
      </c>
      <c r="B5" s="29" t="s">
        <v>37</v>
      </c>
      <c r="C5" s="29" t="s">
        <v>43</v>
      </c>
      <c r="D5" s="29" t="s">
        <v>44</v>
      </c>
      <c r="E5" s="29" t="s">
        <v>41</v>
      </c>
      <c r="F5" s="24">
        <v>50</v>
      </c>
      <c r="G5" s="68">
        <f>IFERROR(SUMIF(VENTAS!E4:E10000,C5,VENTAS!G4:G10000),0)</f>
        <v>0</v>
      </c>
      <c r="H5" s="69">
        <f t="shared" ref="H4:H26" si="1">F5-G5</f>
        <v>50</v>
      </c>
      <c r="I5" s="54">
        <v>15</v>
      </c>
      <c r="J5" s="70" t="str">
        <f>IF(G5=0,"Sin dato",IFERROR(SUMIF(VENTAS!E4:E10000,C5,VENTAS!H4:H10000)/G5,0))</f>
        <v>Sin dato</v>
      </c>
      <c r="K5" s="71" t="str">
        <f t="shared" si="0"/>
        <v>✅ OK</v>
      </c>
    </row>
    <row r="6" spans="1:14" ht="15" customHeight="1" x14ac:dyDescent="0.35">
      <c r="A6" s="19" t="s">
        <v>36</v>
      </c>
      <c r="B6" s="20" t="s">
        <v>37</v>
      </c>
      <c r="C6" s="20" t="s">
        <v>45</v>
      </c>
      <c r="D6" s="20" t="s">
        <v>46</v>
      </c>
      <c r="E6" s="20" t="s">
        <v>47</v>
      </c>
      <c r="F6" s="24">
        <v>40</v>
      </c>
      <c r="G6" s="64">
        <f>IFERROR(SUMIF(VENTAS!E4:E10000,C6,VENTAS!G4:G10000),0)</f>
        <v>0</v>
      </c>
      <c r="H6" s="65">
        <f t="shared" si="1"/>
        <v>40</v>
      </c>
      <c r="I6" s="54">
        <v>12</v>
      </c>
      <c r="J6" s="66" t="str">
        <f>IF(G6=0,"Sin dato",IFERROR(SUMIF(VENTAS!E4:E10000,C6,VENTAS!H4:H10000)/G6,0))</f>
        <v>Sin dato</v>
      </c>
      <c r="K6" s="67" t="str">
        <f t="shared" si="0"/>
        <v>✅ OK</v>
      </c>
    </row>
    <row r="7" spans="1:14" ht="15" customHeight="1" x14ac:dyDescent="0.35">
      <c r="A7" s="19" t="s">
        <v>36</v>
      </c>
      <c r="B7" s="29" t="s">
        <v>37</v>
      </c>
      <c r="C7" s="29" t="s">
        <v>48</v>
      </c>
      <c r="D7" s="29" t="s">
        <v>49</v>
      </c>
      <c r="E7" s="29" t="s">
        <v>41</v>
      </c>
      <c r="F7" s="24">
        <v>40</v>
      </c>
      <c r="G7" s="68">
        <f>IFERROR(SUMIF(VENTAS!E4:E10000,C7,VENTAS!G4:G10000),0)</f>
        <v>0</v>
      </c>
      <c r="H7" s="69">
        <f t="shared" si="1"/>
        <v>40</v>
      </c>
      <c r="I7" s="54">
        <v>12</v>
      </c>
      <c r="J7" s="70" t="str">
        <f>IF(G7=0,"Sin dato",IFERROR(SUMIF(VENTAS!E4:E10000,C7,VENTAS!H4:H10000)/G7,0))</f>
        <v>Sin dato</v>
      </c>
      <c r="K7" s="71" t="str">
        <f t="shared" si="0"/>
        <v>✅ OK</v>
      </c>
    </row>
    <row r="8" spans="1:14" ht="15" customHeight="1" x14ac:dyDescent="0.35">
      <c r="A8" s="19" t="s">
        <v>36</v>
      </c>
      <c r="B8" s="20" t="s">
        <v>37</v>
      </c>
      <c r="C8" s="20" t="s">
        <v>50</v>
      </c>
      <c r="D8" s="20" t="s">
        <v>51</v>
      </c>
      <c r="E8" s="20" t="s">
        <v>41</v>
      </c>
      <c r="F8" s="24">
        <v>35</v>
      </c>
      <c r="G8" s="64">
        <f>IFERROR(SUMIF(VENTAS!E4:E10000,C8,VENTAS!G4:G10000),0)</f>
        <v>0</v>
      </c>
      <c r="H8" s="65">
        <f t="shared" si="1"/>
        <v>35</v>
      </c>
      <c r="I8" s="54">
        <v>10</v>
      </c>
      <c r="J8" s="66" t="str">
        <f>IF(G8=0,"Sin dato",IFERROR(SUMIF(VENTAS!E4:E10000,C8,VENTAS!H4:H10000)/G8,0))</f>
        <v>Sin dato</v>
      </c>
      <c r="K8" s="67" t="str">
        <f t="shared" si="0"/>
        <v>✅ OK</v>
      </c>
    </row>
    <row r="9" spans="1:14" ht="15" customHeight="1" x14ac:dyDescent="0.35">
      <c r="A9" s="19" t="s">
        <v>36</v>
      </c>
      <c r="B9" s="29" t="s">
        <v>37</v>
      </c>
      <c r="C9" s="29" t="s">
        <v>52</v>
      </c>
      <c r="D9" s="29" t="s">
        <v>53</v>
      </c>
      <c r="E9" s="29" t="s">
        <v>41</v>
      </c>
      <c r="F9" s="24">
        <v>35</v>
      </c>
      <c r="G9" s="68">
        <f>IFERROR(SUMIF(VENTAS!E4:E10000,C9,VENTAS!G4:G10000),0)</f>
        <v>0</v>
      </c>
      <c r="H9" s="69">
        <f t="shared" si="1"/>
        <v>35</v>
      </c>
      <c r="I9" s="54">
        <v>10</v>
      </c>
      <c r="J9" s="70" t="str">
        <f>IF(G9=0,"Sin dato",IFERROR(SUMIF(VENTAS!E4:E10000,C9,VENTAS!H4:H10000)/G9,0))</f>
        <v>Sin dato</v>
      </c>
      <c r="K9" s="71" t="str">
        <f t="shared" si="0"/>
        <v>✅ OK</v>
      </c>
    </row>
    <row r="10" spans="1:14" ht="15" customHeight="1" x14ac:dyDescent="0.35">
      <c r="A10" s="19" t="s">
        <v>36</v>
      </c>
      <c r="B10" s="20" t="s">
        <v>37</v>
      </c>
      <c r="C10" s="20" t="s">
        <v>54</v>
      </c>
      <c r="D10" s="20" t="s">
        <v>55</v>
      </c>
      <c r="E10" s="20" t="s">
        <v>41</v>
      </c>
      <c r="F10" s="24">
        <v>35</v>
      </c>
      <c r="G10" s="64">
        <f>IFERROR(SUMIF(VENTAS!E4:E10000,C10,VENTAS!G4:G10000),0)</f>
        <v>0</v>
      </c>
      <c r="H10" s="65">
        <f t="shared" si="1"/>
        <v>35</v>
      </c>
      <c r="I10" s="54">
        <v>10</v>
      </c>
      <c r="J10" s="66" t="str">
        <f>IF(G10=0,"Sin dato",IFERROR(SUMIF(VENTAS!E4:E10000,C10,VENTAS!H4:H10000)/G10,0))</f>
        <v>Sin dato</v>
      </c>
      <c r="K10" s="67" t="str">
        <f t="shared" si="0"/>
        <v>✅ OK</v>
      </c>
    </row>
    <row r="11" spans="1:14" ht="15" customHeight="1" x14ac:dyDescent="0.35">
      <c r="A11" s="19" t="s">
        <v>36</v>
      </c>
      <c r="B11" s="29" t="s">
        <v>37</v>
      </c>
      <c r="C11" s="29" t="s">
        <v>56</v>
      </c>
      <c r="D11" s="29" t="s">
        <v>57</v>
      </c>
      <c r="E11" s="29" t="s">
        <v>47</v>
      </c>
      <c r="F11" s="24">
        <v>35</v>
      </c>
      <c r="G11" s="68">
        <f>IFERROR(SUMIF(VENTAS!E4:E10000,C11,VENTAS!G4:G10000),0)</f>
        <v>0</v>
      </c>
      <c r="H11" s="69">
        <f t="shared" si="1"/>
        <v>35</v>
      </c>
      <c r="I11" s="54">
        <v>10</v>
      </c>
      <c r="J11" s="70" t="str">
        <f>IF(G11=0,"Sin dato",IFERROR(SUMIF(VENTAS!E4:E10000,C11,VENTAS!H4:H10000)/G11,0))</f>
        <v>Sin dato</v>
      </c>
      <c r="K11" s="71" t="str">
        <f t="shared" si="0"/>
        <v>✅ OK</v>
      </c>
    </row>
    <row r="12" spans="1:14" ht="15" customHeight="1" x14ac:dyDescent="0.35">
      <c r="A12" s="19" t="s">
        <v>36</v>
      </c>
      <c r="B12" s="20" t="s">
        <v>37</v>
      </c>
      <c r="C12" s="20" t="s">
        <v>58</v>
      </c>
      <c r="D12" s="20" t="s">
        <v>59</v>
      </c>
      <c r="E12" s="20" t="s">
        <v>47</v>
      </c>
      <c r="F12" s="24">
        <v>35</v>
      </c>
      <c r="G12" s="64">
        <f>IFERROR(SUMIF(VENTAS!E4:E10000,C12,VENTAS!G4:G10000),0)</f>
        <v>0</v>
      </c>
      <c r="H12" s="65">
        <f t="shared" si="1"/>
        <v>35</v>
      </c>
      <c r="I12" s="54">
        <v>10</v>
      </c>
      <c r="J12" s="66" t="str">
        <f>IF(G12=0,"Sin dato",IFERROR(SUMIF(VENTAS!E4:E10000,C12,VENTAS!H4:H10000)/G12,0))</f>
        <v>Sin dato</v>
      </c>
      <c r="K12" s="67" t="str">
        <f t="shared" si="0"/>
        <v>✅ OK</v>
      </c>
    </row>
    <row r="13" spans="1:14" ht="15" customHeight="1" x14ac:dyDescent="0.35">
      <c r="A13" s="19" t="s">
        <v>36</v>
      </c>
      <c r="B13" s="29" t="s">
        <v>37</v>
      </c>
      <c r="C13" s="29" t="s">
        <v>60</v>
      </c>
      <c r="D13" s="29" t="s">
        <v>61</v>
      </c>
      <c r="E13" s="29" t="s">
        <v>41</v>
      </c>
      <c r="F13" s="24">
        <v>30</v>
      </c>
      <c r="G13" s="68">
        <f>IFERROR(SUMIF(VENTAS!E4:E10000,C13,VENTAS!G4:G10000),0)</f>
        <v>0</v>
      </c>
      <c r="H13" s="69">
        <f t="shared" si="1"/>
        <v>30</v>
      </c>
      <c r="I13" s="54">
        <v>9</v>
      </c>
      <c r="J13" s="70" t="str">
        <f>IF(G13=0,"Sin dato",IFERROR(SUMIF(VENTAS!E4:E10000,C13,VENTAS!H4:H10000)/G13,0))</f>
        <v>Sin dato</v>
      </c>
      <c r="K13" s="71" t="str">
        <f t="shared" si="0"/>
        <v>✅ OK</v>
      </c>
    </row>
    <row r="14" spans="1:14" ht="15" customHeight="1" x14ac:dyDescent="0.35">
      <c r="A14" s="19" t="s">
        <v>36</v>
      </c>
      <c r="B14" s="20" t="s">
        <v>37</v>
      </c>
      <c r="C14" s="20" t="s">
        <v>62</v>
      </c>
      <c r="D14" s="20" t="s">
        <v>63</v>
      </c>
      <c r="E14" s="20" t="s">
        <v>41</v>
      </c>
      <c r="F14" s="24">
        <v>30</v>
      </c>
      <c r="G14" s="64">
        <f>IFERROR(SUMIF(VENTAS!E4:E10000,C14,VENTAS!G4:G10000),0)</f>
        <v>0</v>
      </c>
      <c r="H14" s="65">
        <f t="shared" si="1"/>
        <v>30</v>
      </c>
      <c r="I14" s="54">
        <v>9</v>
      </c>
      <c r="J14" s="66" t="str">
        <f>IF(G14=0,"Sin dato",IFERROR(SUMIF(VENTAS!E4:E10000,C14,VENTAS!H4:H10000)/G14,0))</f>
        <v>Sin dato</v>
      </c>
      <c r="K14" s="67" t="str">
        <f t="shared" si="0"/>
        <v>✅ OK</v>
      </c>
    </row>
    <row r="15" spans="1:14" ht="15" customHeight="1" x14ac:dyDescent="0.35">
      <c r="A15" s="19" t="s">
        <v>36</v>
      </c>
      <c r="B15" s="29" t="s">
        <v>37</v>
      </c>
      <c r="C15" s="29" t="s">
        <v>64</v>
      </c>
      <c r="D15" s="29" t="s">
        <v>65</v>
      </c>
      <c r="E15" s="29" t="s">
        <v>47</v>
      </c>
      <c r="F15" s="24">
        <v>30</v>
      </c>
      <c r="G15" s="68">
        <f>IFERROR(SUMIF(VENTAS!E4:E10000,C15,VENTAS!G4:G10000),0)</f>
        <v>0</v>
      </c>
      <c r="H15" s="69">
        <f t="shared" si="1"/>
        <v>30</v>
      </c>
      <c r="I15" s="54">
        <v>9</v>
      </c>
      <c r="J15" s="70" t="str">
        <f>IF(G15=0,"Sin dato",IFERROR(SUMIF(VENTAS!E4:E10000,C15,VENTAS!H4:H10000)/G15,0))</f>
        <v>Sin dato</v>
      </c>
      <c r="K15" s="71" t="str">
        <f t="shared" si="0"/>
        <v>✅ OK</v>
      </c>
    </row>
    <row r="16" spans="1:14" ht="15" customHeight="1" x14ac:dyDescent="0.35">
      <c r="A16" s="19" t="s">
        <v>36</v>
      </c>
      <c r="B16" s="20" t="s">
        <v>37</v>
      </c>
      <c r="C16" s="20" t="s">
        <v>66</v>
      </c>
      <c r="D16" s="20" t="s">
        <v>67</v>
      </c>
      <c r="E16" s="20" t="s">
        <v>41</v>
      </c>
      <c r="F16" s="24">
        <v>30</v>
      </c>
      <c r="G16" s="64">
        <f>IFERROR(SUMIF(VENTAS!E4:E10000,C16,VENTAS!G4:G10000),0)</f>
        <v>0</v>
      </c>
      <c r="H16" s="65">
        <f t="shared" si="1"/>
        <v>30</v>
      </c>
      <c r="I16" s="54">
        <v>9</v>
      </c>
      <c r="J16" s="66" t="str">
        <f>IF(G16=0,"Sin dato",IFERROR(SUMIF(VENTAS!E4:E10000,C16,VENTAS!H4:H10000)/G16,0))</f>
        <v>Sin dato</v>
      </c>
      <c r="K16" s="67" t="str">
        <f t="shared" si="0"/>
        <v>✅ OK</v>
      </c>
    </row>
    <row r="17" spans="1:12" ht="15" customHeight="1" x14ac:dyDescent="0.35">
      <c r="A17" s="19" t="s">
        <v>36</v>
      </c>
      <c r="B17" s="29" t="s">
        <v>37</v>
      </c>
      <c r="C17" s="29" t="s">
        <v>68</v>
      </c>
      <c r="D17" s="29" t="s">
        <v>69</v>
      </c>
      <c r="E17" s="29" t="s">
        <v>47</v>
      </c>
      <c r="F17" s="24">
        <v>30</v>
      </c>
      <c r="G17" s="68">
        <f>IFERROR(SUMIF(VENTAS!E4:E10000,C17,VENTAS!G4:G10000),0)</f>
        <v>0</v>
      </c>
      <c r="H17" s="69">
        <f t="shared" si="1"/>
        <v>30</v>
      </c>
      <c r="I17" s="54">
        <v>9</v>
      </c>
      <c r="J17" s="70" t="str">
        <f>IF(G17=0,"Sin dato",IFERROR(SUMIF(VENTAS!E4:E10000,C17,VENTAS!H4:H10000)/G17,0))</f>
        <v>Sin dato</v>
      </c>
      <c r="K17" s="71" t="str">
        <f t="shared" si="0"/>
        <v>✅ OK</v>
      </c>
    </row>
    <row r="18" spans="1:12" ht="15" customHeight="1" x14ac:dyDescent="0.35">
      <c r="A18" s="19" t="s">
        <v>36</v>
      </c>
      <c r="B18" s="20" t="s">
        <v>37</v>
      </c>
      <c r="C18" s="20" t="s">
        <v>70</v>
      </c>
      <c r="D18" s="20" t="s">
        <v>71</v>
      </c>
      <c r="E18" s="20" t="s">
        <v>41</v>
      </c>
      <c r="F18" s="24">
        <v>30</v>
      </c>
      <c r="G18" s="64">
        <f>IFERROR(SUMIF(VENTAS!E4:E10000,C18,VENTAS!G4:G10000),0)</f>
        <v>0</v>
      </c>
      <c r="H18" s="65">
        <f t="shared" si="1"/>
        <v>30</v>
      </c>
      <c r="I18" s="54">
        <v>9</v>
      </c>
      <c r="J18" s="66" t="str">
        <f>IF(G18=0,"Sin dato",IFERROR(SUMIF(VENTAS!E4:E10000,C18,VENTAS!H4:H10000)/G18,0))</f>
        <v>Sin dato</v>
      </c>
      <c r="K18" s="67" t="str">
        <f t="shared" si="0"/>
        <v>✅ OK</v>
      </c>
    </row>
    <row r="19" spans="1:12" ht="15" customHeight="1" x14ac:dyDescent="0.35">
      <c r="A19" s="35" t="s">
        <v>72</v>
      </c>
      <c r="B19" s="29" t="s">
        <v>73</v>
      </c>
      <c r="C19" s="29" t="s">
        <v>74</v>
      </c>
      <c r="D19" s="29" t="s">
        <v>75</v>
      </c>
      <c r="E19" s="29" t="s">
        <v>41</v>
      </c>
      <c r="F19" s="24">
        <v>40</v>
      </c>
      <c r="G19" s="68">
        <f>IFERROR(SUMIF(VENTAS!E4:E10000,C19,VENTAS!G4:G10000),0)</f>
        <v>12</v>
      </c>
      <c r="H19" s="69">
        <f t="shared" si="1"/>
        <v>28</v>
      </c>
      <c r="I19" s="54">
        <v>12</v>
      </c>
      <c r="J19" s="70">
        <f>IF(G19=0,"Sin dato",IFERROR(SUMIF(VENTAS!E4:E10000,C19,VENTAS!H4:H10000)/G19,0))</f>
        <v>0.83333333333333337</v>
      </c>
      <c r="K19" s="71" t="str">
        <f t="shared" si="0"/>
        <v>✅ OK</v>
      </c>
    </row>
    <row r="20" spans="1:12" ht="15" customHeight="1" x14ac:dyDescent="0.35">
      <c r="A20" s="35" t="s">
        <v>72</v>
      </c>
      <c r="B20" s="20" t="s">
        <v>73</v>
      </c>
      <c r="C20" s="20" t="s">
        <v>76</v>
      </c>
      <c r="D20" s="20" t="s">
        <v>77</v>
      </c>
      <c r="E20" s="20" t="s">
        <v>47</v>
      </c>
      <c r="F20" s="24">
        <v>40</v>
      </c>
      <c r="G20" s="64">
        <f>IFERROR(SUMIF(VENTAS!E4:E10000,C20,VENTAS!G4:G10000),0)</f>
        <v>8</v>
      </c>
      <c r="H20" s="65">
        <f t="shared" si="1"/>
        <v>32</v>
      </c>
      <c r="I20" s="54">
        <v>12</v>
      </c>
      <c r="J20" s="66">
        <f>IF(G20=0,"Sin dato",IFERROR(SUMIF(VENTAS!E4:E10000,C20,VENTAS!H4:H10000)/G20,0))</f>
        <v>0.75</v>
      </c>
      <c r="K20" s="67" t="str">
        <f t="shared" si="0"/>
        <v>✅ OK</v>
      </c>
    </row>
    <row r="21" spans="1:12" ht="15" customHeight="1" x14ac:dyDescent="0.35">
      <c r="A21" s="35" t="s">
        <v>72</v>
      </c>
      <c r="B21" s="29" t="s">
        <v>78</v>
      </c>
      <c r="C21" s="29" t="s">
        <v>79</v>
      </c>
      <c r="D21" s="29" t="s">
        <v>80</v>
      </c>
      <c r="E21" s="29" t="s">
        <v>47</v>
      </c>
      <c r="F21" s="24">
        <v>30</v>
      </c>
      <c r="G21" s="68">
        <f>IFERROR(SUMIF(VENTAS!E4:E10000,C21,VENTAS!G4:G10000),0)</f>
        <v>0</v>
      </c>
      <c r="H21" s="69">
        <f t="shared" si="1"/>
        <v>30</v>
      </c>
      <c r="I21" s="54">
        <v>9</v>
      </c>
      <c r="J21" s="70" t="str">
        <f>IF(G21=0,"Sin dato",IFERROR(SUMIF(VENTAS!E4:E10000,C21,VENTAS!H4:H10000)/G21,0))</f>
        <v>Sin dato</v>
      </c>
      <c r="K21" s="71" t="str">
        <f t="shared" si="0"/>
        <v>✅ OK</v>
      </c>
    </row>
    <row r="22" spans="1:12" ht="15" customHeight="1" x14ac:dyDescent="0.35">
      <c r="A22" s="35" t="s">
        <v>72</v>
      </c>
      <c r="B22" s="20" t="s">
        <v>81</v>
      </c>
      <c r="C22" s="20" t="s">
        <v>82</v>
      </c>
      <c r="D22" s="20" t="s">
        <v>83</v>
      </c>
      <c r="E22" s="20" t="s">
        <v>41</v>
      </c>
      <c r="F22" s="24">
        <v>40</v>
      </c>
      <c r="G22" s="64">
        <f>IFERROR(SUMIF(VENTAS!E4:E10000,C22,VENTAS!G4:G10000),0)</f>
        <v>9</v>
      </c>
      <c r="H22" s="65">
        <f t="shared" si="1"/>
        <v>31</v>
      </c>
      <c r="I22" s="54">
        <v>12</v>
      </c>
      <c r="J22" s="66">
        <f>IF(G22=0,"Sin dato",IFERROR(SUMIF(VENTAS!E4:E10000,C22,VENTAS!H4:H10000)/G22,0))</f>
        <v>0</v>
      </c>
      <c r="K22" s="67" t="str">
        <f t="shared" si="0"/>
        <v>✅ OK</v>
      </c>
    </row>
    <row r="23" spans="1:12" ht="15" customHeight="1" x14ac:dyDescent="0.35">
      <c r="A23" s="36" t="s">
        <v>84</v>
      </c>
      <c r="B23" s="29" t="s">
        <v>85</v>
      </c>
      <c r="C23" s="29" t="s">
        <v>86</v>
      </c>
      <c r="D23" s="29" t="s">
        <v>87</v>
      </c>
      <c r="E23" s="29" t="s">
        <v>41</v>
      </c>
      <c r="F23" s="24">
        <v>30</v>
      </c>
      <c r="G23" s="68">
        <f>IFERROR(SUMIF(VENTAS!E4:E10000,C23,VENTAS!G4:G10000),0)</f>
        <v>0</v>
      </c>
      <c r="H23" s="69">
        <f t="shared" si="1"/>
        <v>30</v>
      </c>
      <c r="I23" s="54">
        <v>9</v>
      </c>
      <c r="J23" s="70" t="str">
        <f>IF(G23=0,"Sin dato",IFERROR(SUMIF(VENTAS!E4:E10000,C23,VENTAS!H4:H10000)/G23,0))</f>
        <v>Sin dato</v>
      </c>
      <c r="K23" s="71" t="str">
        <f t="shared" si="0"/>
        <v>✅ OK</v>
      </c>
    </row>
    <row r="24" spans="1:12" ht="15" customHeight="1" x14ac:dyDescent="0.35">
      <c r="A24" s="36" t="s">
        <v>84</v>
      </c>
      <c r="B24" s="20" t="s">
        <v>85</v>
      </c>
      <c r="C24" s="20" t="s">
        <v>88</v>
      </c>
      <c r="D24" s="20" t="s">
        <v>89</v>
      </c>
      <c r="E24" s="20" t="s">
        <v>47</v>
      </c>
      <c r="F24" s="24">
        <v>30</v>
      </c>
      <c r="G24" s="64">
        <f>IFERROR(SUMIF(VENTAS!E4:E10000,C24,VENTAS!G4:G10000),0)</f>
        <v>0</v>
      </c>
      <c r="H24" s="65">
        <f t="shared" si="1"/>
        <v>30</v>
      </c>
      <c r="I24" s="54">
        <v>9</v>
      </c>
      <c r="J24" s="66" t="str">
        <f>IF(G24=0,"Sin dato",IFERROR(SUMIF(VENTAS!E4:E10000,C24,VENTAS!H4:H10000)/G24,0))</f>
        <v>Sin dato</v>
      </c>
      <c r="K24" s="67" t="str">
        <f t="shared" si="0"/>
        <v>✅ OK</v>
      </c>
    </row>
    <row r="25" spans="1:12" ht="15" customHeight="1" x14ac:dyDescent="0.35">
      <c r="A25" s="37" t="s">
        <v>90</v>
      </c>
      <c r="B25" s="29" t="s">
        <v>91</v>
      </c>
      <c r="C25" s="29" t="s">
        <v>92</v>
      </c>
      <c r="D25" s="29" t="s">
        <v>93</v>
      </c>
      <c r="E25" s="29" t="s">
        <v>41</v>
      </c>
      <c r="F25" s="24">
        <v>20</v>
      </c>
      <c r="G25" s="68">
        <f>IFERROR(SUMIF(VENTAS!E4:E10000,C25,VENTAS!G4:G10000),0)</f>
        <v>5</v>
      </c>
      <c r="H25" s="69">
        <f t="shared" si="1"/>
        <v>15</v>
      </c>
      <c r="I25" s="54">
        <v>6</v>
      </c>
      <c r="J25" s="70">
        <f>IF(G25=0,"Sin dato",IFERROR(SUMIF(VENTAS!E4:E10000,C25,VENTAS!H4:H10000)/G25,0))</f>
        <v>0.8</v>
      </c>
      <c r="K25" s="71" t="str">
        <f t="shared" si="0"/>
        <v>✅ OK</v>
      </c>
    </row>
    <row r="26" spans="1:12" ht="15" customHeight="1" x14ac:dyDescent="0.35">
      <c r="A26" s="38" t="s">
        <v>94</v>
      </c>
      <c r="B26" s="20" t="s">
        <v>95</v>
      </c>
      <c r="C26" s="20" t="s">
        <v>96</v>
      </c>
      <c r="D26" s="20" t="s">
        <v>97</v>
      </c>
      <c r="E26" s="20" t="s">
        <v>41</v>
      </c>
      <c r="F26" s="24">
        <v>30</v>
      </c>
      <c r="G26" s="64">
        <f>IFERROR(SUMIF(VENTAS!E4:E10000,C26,VENTAS!G4:G10000),0)</f>
        <v>8</v>
      </c>
      <c r="H26" s="65">
        <f t="shared" si="1"/>
        <v>22</v>
      </c>
      <c r="I26" s="54">
        <v>9</v>
      </c>
      <c r="J26" s="66">
        <f>IF(G26=0,"Sin dato",IFERROR(SUMIF(VENTAS!E4:E10000,C26,VENTAS!H4:H10000)/G26,0))</f>
        <v>1</v>
      </c>
      <c r="K26" s="67" t="str">
        <f t="shared" si="0"/>
        <v>✅ OK</v>
      </c>
    </row>
    <row r="28" spans="1:12" ht="15" customHeight="1" x14ac:dyDescent="0.35">
      <c r="A28" s="13" t="s">
        <v>170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</row>
  </sheetData>
  <autoFilter ref="A3:K3" xr:uid="{00000000-0009-0000-0000-000003000000}"/>
  <mergeCells count="3">
    <mergeCell ref="A1:L1"/>
    <mergeCell ref="A2:L2"/>
    <mergeCell ref="A28:L28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4"/>
  <sheetViews>
    <sheetView showGridLines="0" zoomScaleNormal="100" workbookViewId="0">
      <selection activeCell="B5" sqref="B5"/>
    </sheetView>
  </sheetViews>
  <sheetFormatPr baseColWidth="10" defaultColWidth="8.6328125" defaultRowHeight="14.5" x14ac:dyDescent="0.35"/>
  <cols>
    <col min="1" max="1" width="22" customWidth="1"/>
    <col min="2" max="3" width="16" customWidth="1"/>
    <col min="4" max="5" width="14" customWidth="1"/>
  </cols>
  <sheetData>
    <row r="1" spans="1:12" ht="36" customHeight="1" x14ac:dyDescent="0.35">
      <c r="A1" s="14" t="s">
        <v>171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18" customHeight="1" x14ac:dyDescent="0.35">
      <c r="A2" s="117" t="s">
        <v>172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</row>
    <row r="4" spans="1:12" ht="27.75" customHeight="1" x14ac:dyDescent="0.35">
      <c r="A4" s="47" t="s">
        <v>13</v>
      </c>
      <c r="B4" s="47" t="s">
        <v>173</v>
      </c>
      <c r="C4" s="47" t="s">
        <v>174</v>
      </c>
      <c r="D4" s="47" t="s">
        <v>175</v>
      </c>
      <c r="E4" s="47" t="s">
        <v>19</v>
      </c>
    </row>
    <row r="5" spans="1:12" ht="15" customHeight="1" x14ac:dyDescent="0.35">
      <c r="A5" s="72" t="s">
        <v>36</v>
      </c>
      <c r="B5" s="33">
        <f>IFERROR(SUMPRODUCT((PANEL!A8:A30=A5)*(PANEL!H8:S30)),0)</f>
        <v>378</v>
      </c>
      <c r="C5" s="69">
        <f>IFERROR(SUMIF(VENTAS!C4:C10000,A5,VENTAS!G4:G10000),0)</f>
        <v>50</v>
      </c>
      <c r="D5" s="73">
        <f>IFERROR(C5/B5,0)</f>
        <v>0.13227513227513227</v>
      </c>
      <c r="E5" s="71" t="str">
        <f>IF(B5=0,"Sin meta",IF(D5&gt;=1,"✅ Logrado",IF(D5&gt;=0.6,"🟡 En curso","🔴 Bajo")))</f>
        <v>🔴 Bajo</v>
      </c>
    </row>
    <row r="6" spans="1:12" ht="15" customHeight="1" x14ac:dyDescent="0.35">
      <c r="A6" s="74" t="s">
        <v>72</v>
      </c>
      <c r="B6" s="26">
        <f>IFERROR(SUMPRODUCT((PANEL!A8:A30=A6)*(PANEL!H8:S30)),0)</f>
        <v>214</v>
      </c>
      <c r="C6" s="65">
        <f>IFERROR(SUMIF(VENTAS!C4:C10000,A6,VENTAS!G4:G10000),0)</f>
        <v>29</v>
      </c>
      <c r="D6" s="75">
        <f>IFERROR(C6/B6,0)</f>
        <v>0.13551401869158877</v>
      </c>
      <c r="E6" s="67" t="str">
        <f>IF(B6=0,"Sin meta",IF(D6&gt;=1,"✅ Logrado",IF(D6&gt;=0.6,"🟡 En curso","🔴 Bajo")))</f>
        <v>🔴 Bajo</v>
      </c>
    </row>
    <row r="7" spans="1:12" ht="15" customHeight="1" x14ac:dyDescent="0.35">
      <c r="A7" s="76" t="s">
        <v>84</v>
      </c>
      <c r="B7" s="33">
        <f>IFERROR(SUMPRODUCT((PANEL!A8:A30=A7)*(PANEL!H8:S30)),0)</f>
        <v>150</v>
      </c>
      <c r="C7" s="69">
        <f>IFERROR(SUMIF(VENTAS!C4:C10000,A7,VENTAS!G4:G10000),0)</f>
        <v>0</v>
      </c>
      <c r="D7" s="73">
        <f>IFERROR(C7/B7,0)</f>
        <v>0</v>
      </c>
      <c r="E7" s="71" t="str">
        <f>IF(B7=0,"Sin meta",IF(D7&gt;=1,"✅ Logrado",IF(D7&gt;=0.6,"🟡 En curso","🔴 Bajo")))</f>
        <v>🔴 Bajo</v>
      </c>
    </row>
    <row r="8" spans="1:12" ht="15" customHeight="1" x14ac:dyDescent="0.35">
      <c r="A8" s="77" t="s">
        <v>90</v>
      </c>
      <c r="B8" s="26">
        <f>IFERROR(SUMPRODUCT((PANEL!A8:A30=A8)*(PANEL!H8:S30)),0)</f>
        <v>23</v>
      </c>
      <c r="C8" s="65">
        <f>IFERROR(SUMIF(VENTAS!C4:C10000,A8,VENTAS!G4:G10000),0)</f>
        <v>5</v>
      </c>
      <c r="D8" s="75">
        <f>IFERROR(C8/B8,0)</f>
        <v>0.21739130434782608</v>
      </c>
      <c r="E8" s="67" t="str">
        <f>IF(B8=0,"Sin meta",IF(D8&gt;=1,"✅ Logrado",IF(D8&gt;=0.6,"🟡 En curso","🔴 Bajo")))</f>
        <v>🔴 Bajo</v>
      </c>
    </row>
    <row r="9" spans="1:12" ht="15" customHeight="1" x14ac:dyDescent="0.35">
      <c r="A9" s="78" t="s">
        <v>94</v>
      </c>
      <c r="B9" s="33">
        <f>IFERROR(SUMPRODUCT((PANEL!A8:A30=A9)*(PANEL!H8:S30)),0)</f>
        <v>30</v>
      </c>
      <c r="C9" s="69">
        <f>IFERROR(SUMIF(VENTAS!C4:C10000,A9,VENTAS!G4:G10000),0)</f>
        <v>8</v>
      </c>
      <c r="D9" s="73">
        <f>IFERROR(C9/B9,0)</f>
        <v>0.26666666666666666</v>
      </c>
      <c r="E9" s="71" t="str">
        <f>IF(B9=0,"Sin meta",IF(D9&gt;=1,"✅ Logrado",IF(D9&gt;=0.6,"🟡 En curso","🔴 Bajo")))</f>
        <v>🔴 Bajo</v>
      </c>
    </row>
    <row r="13" spans="1:12" x14ac:dyDescent="0.35">
      <c r="H13" t="s">
        <v>280</v>
      </c>
    </row>
    <row r="14" spans="1:12" x14ac:dyDescent="0.35">
      <c r="H14" t="s">
        <v>281</v>
      </c>
    </row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5"/>
  <sheetViews>
    <sheetView showGridLines="0" zoomScaleNormal="100" workbookViewId="0">
      <pane ySplit="4" topLeftCell="A5" activePane="bottomLeft" state="frozen"/>
      <selection pane="bottomLeft" activeCell="G12" sqref="G12"/>
    </sheetView>
  </sheetViews>
  <sheetFormatPr baseColWidth="10" defaultColWidth="8.6328125" defaultRowHeight="14.5" x14ac:dyDescent="0.35"/>
  <cols>
    <col min="1" max="1" width="18" customWidth="1"/>
    <col min="2" max="3" width="14" customWidth="1"/>
    <col min="4" max="4" width="7" customWidth="1"/>
    <col min="5" max="5" width="24" customWidth="1"/>
    <col min="6" max="6" width="6" customWidth="1"/>
    <col min="7" max="7" width="10" customWidth="1"/>
    <col min="8" max="8" width="28" customWidth="1"/>
    <col min="9" max="10" width="13" customWidth="1"/>
    <col min="11" max="12" width="8" customWidth="1"/>
    <col min="13" max="13" width="7" customWidth="1"/>
    <col min="14" max="14" width="12" customWidth="1"/>
    <col min="15" max="16" width="13" customWidth="1"/>
    <col min="17" max="17" width="26" customWidth="1"/>
  </cols>
  <sheetData>
    <row r="1" spans="1:17" ht="36" customHeight="1" x14ac:dyDescent="0.35">
      <c r="A1" s="14" t="s">
        <v>176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7" ht="18" customHeight="1" x14ac:dyDescent="0.35">
      <c r="A2" s="117" t="s">
        <v>177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</row>
    <row r="4" spans="1:17" ht="19.5" customHeight="1" x14ac:dyDescent="0.35">
      <c r="A4" s="115" t="s">
        <v>178</v>
      </c>
      <c r="B4" s="115"/>
      <c r="C4" s="115"/>
      <c r="D4" s="115"/>
      <c r="E4" s="115"/>
    </row>
    <row r="5" spans="1:17" ht="42.75" customHeight="1" x14ac:dyDescent="0.35">
      <c r="A5" s="47" t="s">
        <v>115</v>
      </c>
      <c r="B5" s="47" t="s">
        <v>179</v>
      </c>
      <c r="C5" s="47" t="s">
        <v>116</v>
      </c>
      <c r="D5" s="47" t="s">
        <v>180</v>
      </c>
      <c r="E5" s="47" t="s">
        <v>181</v>
      </c>
    </row>
    <row r="6" spans="1:17" ht="15" customHeight="1" x14ac:dyDescent="0.35">
      <c r="A6" s="20" t="s">
        <v>182</v>
      </c>
      <c r="B6" s="20" t="s">
        <v>183</v>
      </c>
      <c r="C6" s="20" t="s">
        <v>184</v>
      </c>
      <c r="D6" s="79">
        <v>85000</v>
      </c>
      <c r="E6" s="20" t="s">
        <v>185</v>
      </c>
    </row>
    <row r="7" spans="1:17" ht="15" customHeight="1" x14ac:dyDescent="0.35">
      <c r="A7" s="29" t="s">
        <v>186</v>
      </c>
      <c r="B7" s="29" t="s">
        <v>187</v>
      </c>
      <c r="C7" s="29" t="s">
        <v>188</v>
      </c>
      <c r="D7" s="79">
        <v>8500</v>
      </c>
      <c r="E7" s="29" t="s">
        <v>189</v>
      </c>
    </row>
    <row r="8" spans="1:17" ht="15" customHeight="1" x14ac:dyDescent="0.35">
      <c r="A8" s="20" t="s">
        <v>190</v>
      </c>
      <c r="B8" s="20" t="s">
        <v>191</v>
      </c>
      <c r="C8" s="20" t="s">
        <v>192</v>
      </c>
      <c r="D8" s="79">
        <v>4500</v>
      </c>
      <c r="E8" s="20" t="s">
        <v>193</v>
      </c>
    </row>
    <row r="9" spans="1:17" ht="15" customHeight="1" x14ac:dyDescent="0.35">
      <c r="A9" s="29" t="s">
        <v>194</v>
      </c>
      <c r="B9" s="29" t="s">
        <v>195</v>
      </c>
      <c r="C9" s="29" t="s">
        <v>196</v>
      </c>
      <c r="D9" s="79">
        <v>1200</v>
      </c>
      <c r="E9" s="29" t="s">
        <v>193</v>
      </c>
    </row>
    <row r="10" spans="1:17" ht="15" customHeight="1" x14ac:dyDescent="0.35">
      <c r="A10" s="20" t="s">
        <v>197</v>
      </c>
      <c r="B10" s="20" t="s">
        <v>198</v>
      </c>
      <c r="C10" s="20" t="s">
        <v>199</v>
      </c>
      <c r="D10" s="79">
        <v>35000</v>
      </c>
      <c r="E10" s="20" t="s">
        <v>200</v>
      </c>
    </row>
    <row r="11" spans="1:17" ht="15" customHeight="1" x14ac:dyDescent="0.35">
      <c r="A11" s="29" t="s">
        <v>201</v>
      </c>
      <c r="B11" s="29" t="s">
        <v>202</v>
      </c>
      <c r="C11" s="29" t="s">
        <v>203</v>
      </c>
      <c r="D11" s="79">
        <v>25000</v>
      </c>
      <c r="E11" s="29" t="s">
        <v>200</v>
      </c>
    </row>
    <row r="12" spans="1:17" ht="15" customHeight="1" x14ac:dyDescent="0.35">
      <c r="A12" s="20" t="s">
        <v>204</v>
      </c>
      <c r="B12" s="20" t="s">
        <v>205</v>
      </c>
      <c r="C12" s="20" t="s">
        <v>206</v>
      </c>
      <c r="D12" s="79">
        <v>12000</v>
      </c>
      <c r="E12" s="20" t="s">
        <v>207</v>
      </c>
    </row>
    <row r="14" spans="1:17" ht="19.5" customHeight="1" x14ac:dyDescent="0.35">
      <c r="A14" s="115" t="s">
        <v>208</v>
      </c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5"/>
      <c r="N14" s="115"/>
      <c r="O14" s="115"/>
      <c r="P14" s="115"/>
    </row>
    <row r="15" spans="1:17" ht="31.5" customHeight="1" x14ac:dyDescent="0.35">
      <c r="A15" s="47" t="s">
        <v>209</v>
      </c>
      <c r="B15" s="47" t="s">
        <v>14</v>
      </c>
      <c r="C15" s="47" t="s">
        <v>210</v>
      </c>
      <c r="D15" s="47" t="s">
        <v>142</v>
      </c>
      <c r="E15" s="47" t="s">
        <v>143</v>
      </c>
      <c r="F15" s="47" t="s">
        <v>18</v>
      </c>
      <c r="G15" s="47" t="s">
        <v>211</v>
      </c>
      <c r="H15" s="47" t="s">
        <v>116</v>
      </c>
      <c r="I15" s="47" t="s">
        <v>212</v>
      </c>
      <c r="J15" s="47" t="s">
        <v>213</v>
      </c>
      <c r="K15" s="47" t="s">
        <v>214</v>
      </c>
      <c r="L15" s="47" t="s">
        <v>215</v>
      </c>
      <c r="M15" s="47" t="s">
        <v>216</v>
      </c>
      <c r="N15" s="47" t="s">
        <v>217</v>
      </c>
      <c r="O15" s="47" t="s">
        <v>218</v>
      </c>
      <c r="P15" s="47" t="s">
        <v>19</v>
      </c>
      <c r="Q15" s="47" t="s">
        <v>219</v>
      </c>
    </row>
    <row r="16" spans="1:17" ht="15" customHeight="1" x14ac:dyDescent="0.35">
      <c r="A16" s="35" t="s">
        <v>72</v>
      </c>
      <c r="B16" s="20" t="s">
        <v>73</v>
      </c>
      <c r="C16" s="20" t="s">
        <v>73</v>
      </c>
      <c r="D16" s="20" t="s">
        <v>74</v>
      </c>
      <c r="E16" s="20" t="s">
        <v>75</v>
      </c>
      <c r="F16" s="20" t="s">
        <v>41</v>
      </c>
      <c r="G16" s="20" t="s">
        <v>186</v>
      </c>
      <c r="H16" s="20" t="s">
        <v>187</v>
      </c>
      <c r="I16" s="20" t="s">
        <v>152</v>
      </c>
      <c r="J16" s="58"/>
      <c r="K16" s="24">
        <v>2</v>
      </c>
      <c r="L16" s="24">
        <v>0</v>
      </c>
      <c r="M16" s="80">
        <f t="shared" ref="M16:M23" si="0">IFERROR(L16/K16,0)</f>
        <v>0</v>
      </c>
      <c r="N16" s="55">
        <v>8500</v>
      </c>
      <c r="O16" s="25">
        <f t="shared" ref="O16:O23" si="1">K16*N16</f>
        <v>17000</v>
      </c>
      <c r="P16" s="21" t="s">
        <v>220</v>
      </c>
      <c r="Q16" s="81"/>
    </row>
    <row r="17" spans="1:17" ht="15" customHeight="1" x14ac:dyDescent="0.35">
      <c r="A17" s="35" t="s">
        <v>72</v>
      </c>
      <c r="B17" s="29" t="s">
        <v>73</v>
      </c>
      <c r="C17" s="29" t="s">
        <v>73</v>
      </c>
      <c r="D17" s="29" t="s">
        <v>74</v>
      </c>
      <c r="E17" s="29" t="s">
        <v>75</v>
      </c>
      <c r="F17" s="29" t="s">
        <v>41</v>
      </c>
      <c r="G17" s="29" t="s">
        <v>201</v>
      </c>
      <c r="H17" s="29" t="s">
        <v>221</v>
      </c>
      <c r="I17" s="29" t="s">
        <v>160</v>
      </c>
      <c r="J17" s="58"/>
      <c r="K17" s="24">
        <v>1</v>
      </c>
      <c r="L17" s="24">
        <v>0</v>
      </c>
      <c r="M17" s="82">
        <f t="shared" si="0"/>
        <v>0</v>
      </c>
      <c r="N17" s="55">
        <v>25000</v>
      </c>
      <c r="O17" s="32">
        <f t="shared" si="1"/>
        <v>25000</v>
      </c>
      <c r="P17" s="30" t="s">
        <v>220</v>
      </c>
      <c r="Q17" s="83"/>
    </row>
    <row r="18" spans="1:17" ht="15" customHeight="1" x14ac:dyDescent="0.35">
      <c r="A18" s="35" t="s">
        <v>72</v>
      </c>
      <c r="B18" s="20" t="s">
        <v>81</v>
      </c>
      <c r="C18" s="20" t="s">
        <v>81</v>
      </c>
      <c r="D18" s="20" t="s">
        <v>82</v>
      </c>
      <c r="E18" s="20" t="s">
        <v>83</v>
      </c>
      <c r="F18" s="20" t="s">
        <v>41</v>
      </c>
      <c r="G18" s="20" t="s">
        <v>190</v>
      </c>
      <c r="H18" s="20" t="s">
        <v>222</v>
      </c>
      <c r="I18" s="20" t="s">
        <v>156</v>
      </c>
      <c r="J18" s="58"/>
      <c r="K18" s="24">
        <v>2</v>
      </c>
      <c r="L18" s="24">
        <v>0</v>
      </c>
      <c r="M18" s="80">
        <f t="shared" si="0"/>
        <v>0</v>
      </c>
      <c r="N18" s="55">
        <v>4500</v>
      </c>
      <c r="O18" s="25">
        <f t="shared" si="1"/>
        <v>9000</v>
      </c>
      <c r="P18" s="21" t="s">
        <v>220</v>
      </c>
      <c r="Q18" s="81"/>
    </row>
    <row r="19" spans="1:17" ht="15" customHeight="1" x14ac:dyDescent="0.35">
      <c r="A19" s="36" t="s">
        <v>84</v>
      </c>
      <c r="B19" s="29" t="s">
        <v>85</v>
      </c>
      <c r="C19" s="29" t="s">
        <v>85</v>
      </c>
      <c r="D19" s="29" t="s">
        <v>86</v>
      </c>
      <c r="E19" s="29" t="s">
        <v>87</v>
      </c>
      <c r="F19" s="29" t="s">
        <v>41</v>
      </c>
      <c r="G19" s="29" t="s">
        <v>194</v>
      </c>
      <c r="H19" s="29" t="s">
        <v>223</v>
      </c>
      <c r="I19" s="29" t="s">
        <v>224</v>
      </c>
      <c r="J19" s="58"/>
      <c r="K19" s="24">
        <v>3</v>
      </c>
      <c r="L19" s="24">
        <v>0</v>
      </c>
      <c r="M19" s="82">
        <f t="shared" si="0"/>
        <v>0</v>
      </c>
      <c r="N19" s="55">
        <v>1200</v>
      </c>
      <c r="O19" s="32">
        <f t="shared" si="1"/>
        <v>3600</v>
      </c>
      <c r="P19" s="30" t="s">
        <v>225</v>
      </c>
      <c r="Q19" s="83"/>
    </row>
    <row r="20" spans="1:17" ht="15" customHeight="1" x14ac:dyDescent="0.35">
      <c r="A20" s="35" t="s">
        <v>72</v>
      </c>
      <c r="B20" s="20" t="s">
        <v>91</v>
      </c>
      <c r="C20" s="20" t="s">
        <v>91</v>
      </c>
      <c r="D20" s="20" t="s">
        <v>92</v>
      </c>
      <c r="E20" s="20" t="s">
        <v>93</v>
      </c>
      <c r="F20" s="20" t="s">
        <v>41</v>
      </c>
      <c r="G20" s="20" t="s">
        <v>204</v>
      </c>
      <c r="H20" s="20" t="s">
        <v>205</v>
      </c>
      <c r="I20" s="20" t="s">
        <v>159</v>
      </c>
      <c r="J20" s="58"/>
      <c r="K20" s="24">
        <v>1</v>
      </c>
      <c r="L20" s="24">
        <v>0</v>
      </c>
      <c r="M20" s="80">
        <f t="shared" si="0"/>
        <v>0</v>
      </c>
      <c r="N20" s="55">
        <v>12000</v>
      </c>
      <c r="O20" s="25">
        <f t="shared" si="1"/>
        <v>12000</v>
      </c>
      <c r="P20" s="21" t="s">
        <v>220</v>
      </c>
      <c r="Q20" s="81"/>
    </row>
    <row r="21" spans="1:17" ht="15" customHeight="1" x14ac:dyDescent="0.35">
      <c r="A21" s="38" t="s">
        <v>94</v>
      </c>
      <c r="B21" s="29" t="s">
        <v>95</v>
      </c>
      <c r="C21" s="29" t="s">
        <v>95</v>
      </c>
      <c r="D21" s="29" t="s">
        <v>96</v>
      </c>
      <c r="E21" s="29" t="s">
        <v>97</v>
      </c>
      <c r="F21" s="29" t="s">
        <v>41</v>
      </c>
      <c r="G21" s="29" t="s">
        <v>201</v>
      </c>
      <c r="H21" s="29" t="s">
        <v>226</v>
      </c>
      <c r="I21" s="29" t="s">
        <v>227</v>
      </c>
      <c r="J21" s="58"/>
      <c r="K21" s="24">
        <v>1</v>
      </c>
      <c r="L21" s="24">
        <v>0</v>
      </c>
      <c r="M21" s="82">
        <f t="shared" si="0"/>
        <v>0</v>
      </c>
      <c r="N21" s="55">
        <v>25000</v>
      </c>
      <c r="O21" s="32">
        <f t="shared" si="1"/>
        <v>25000</v>
      </c>
      <c r="P21" s="30" t="s">
        <v>225</v>
      </c>
      <c r="Q21" s="83"/>
    </row>
    <row r="22" spans="1:17" ht="15" customHeight="1" x14ac:dyDescent="0.35">
      <c r="A22" s="19" t="s">
        <v>36</v>
      </c>
      <c r="B22" s="20" t="s">
        <v>37</v>
      </c>
      <c r="C22" s="20" t="s">
        <v>38</v>
      </c>
      <c r="D22" s="20" t="s">
        <v>39</v>
      </c>
      <c r="E22" s="20" t="s">
        <v>40</v>
      </c>
      <c r="F22" s="20" t="s">
        <v>41</v>
      </c>
      <c r="G22" s="20" t="s">
        <v>182</v>
      </c>
      <c r="H22" s="20" t="s">
        <v>183</v>
      </c>
      <c r="I22" s="20" t="s">
        <v>228</v>
      </c>
      <c r="J22" s="58"/>
      <c r="K22" s="24">
        <v>1</v>
      </c>
      <c r="L22" s="24">
        <v>0</v>
      </c>
      <c r="M22" s="80">
        <f t="shared" si="0"/>
        <v>0</v>
      </c>
      <c r="N22" s="55">
        <v>85000</v>
      </c>
      <c r="O22" s="25">
        <f t="shared" si="1"/>
        <v>85000</v>
      </c>
      <c r="P22" s="21" t="s">
        <v>225</v>
      </c>
      <c r="Q22" s="81"/>
    </row>
    <row r="23" spans="1:17" ht="15" customHeight="1" x14ac:dyDescent="0.35">
      <c r="A23" s="19" t="s">
        <v>36</v>
      </c>
      <c r="B23" s="29" t="s">
        <v>37</v>
      </c>
      <c r="C23" s="29" t="s">
        <v>38</v>
      </c>
      <c r="D23" s="29" t="s">
        <v>39</v>
      </c>
      <c r="E23" s="29" t="s">
        <v>40</v>
      </c>
      <c r="F23" s="29" t="s">
        <v>41</v>
      </c>
      <c r="G23" s="29" t="s">
        <v>197</v>
      </c>
      <c r="H23" s="29" t="s">
        <v>229</v>
      </c>
      <c r="I23" s="29" t="s">
        <v>230</v>
      </c>
      <c r="J23" s="58"/>
      <c r="K23" s="24">
        <v>2</v>
      </c>
      <c r="L23" s="24">
        <v>0</v>
      </c>
      <c r="M23" s="82">
        <f t="shared" si="0"/>
        <v>0</v>
      </c>
      <c r="N23" s="55">
        <v>35000</v>
      </c>
      <c r="O23" s="32">
        <f t="shared" si="1"/>
        <v>70000</v>
      </c>
      <c r="P23" s="30" t="s">
        <v>225</v>
      </c>
      <c r="Q23" s="83"/>
    </row>
    <row r="25" spans="1:17" ht="15" customHeight="1" x14ac:dyDescent="0.35">
      <c r="A25" s="1" t="s">
        <v>231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40">
        <f>SUBTOTAL(9,O16:O24)</f>
        <v>246600</v>
      </c>
    </row>
  </sheetData>
  <autoFilter ref="A15:Q15" xr:uid="{00000000-0009-0000-0000-000005000000}"/>
  <mergeCells count="5">
    <mergeCell ref="A1:P1"/>
    <mergeCell ref="A2:P2"/>
    <mergeCell ref="A4:E4"/>
    <mergeCell ref="A14:P14"/>
    <mergeCell ref="A25:N25"/>
  </mergeCells>
  <dataValidations count="3">
    <dataValidation type="list" allowBlank="1" sqref="G16:G74" xr:uid="{00000000-0002-0000-0500-000000000000}">
      <formula1>"POP-EXH,POP-STO,POP-CEN,POP-CAR,POP-PRO,POP-DEG,POP-SEÑ"</formula1>
      <formula2>0</formula2>
    </dataValidation>
    <dataValidation type="list" allowBlank="1" sqref="P16:P74" xr:uid="{00000000-0002-0000-0500-000001000000}">
      <formula1>"Pendiente,Programado,En tránsito,Instalado,Retirado"</formula1>
      <formula2>0</formula2>
    </dataValidation>
    <dataValidation type="list" allowBlank="1" sqref="F16:F74" xr:uid="{00000000-0002-0000-0500-000002000000}">
      <formula1>"JI,Ana"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44"/>
  <sheetViews>
    <sheetView showGridLines="0" tabSelected="1" zoomScaleNormal="100" workbookViewId="0">
      <selection activeCell="N27" sqref="N27"/>
    </sheetView>
  </sheetViews>
  <sheetFormatPr baseColWidth="10" defaultColWidth="8.6328125" defaultRowHeight="14.5" x14ac:dyDescent="0.35"/>
  <cols>
    <col min="1" max="1" width="20" customWidth="1"/>
    <col min="2" max="2" width="14" customWidth="1"/>
    <col min="3" max="3" width="12" customWidth="1"/>
    <col min="4" max="4" width="28" customWidth="1"/>
    <col min="5" max="5" width="12" customWidth="1"/>
    <col min="6" max="6" width="18.453125" customWidth="1"/>
    <col min="7" max="7" width="13" customWidth="1"/>
    <col min="8" max="8" width="9" customWidth="1"/>
    <col min="9" max="9" width="26" customWidth="1"/>
  </cols>
  <sheetData>
    <row r="1" spans="1:19" ht="36" customHeight="1" x14ac:dyDescent="0.35">
      <c r="A1" s="14" t="s">
        <v>232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9" ht="15.75" customHeight="1" x14ac:dyDescent="0.35">
      <c r="A2" s="13" t="s">
        <v>233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4" spans="1:19" ht="25.5" customHeight="1" x14ac:dyDescent="0.35">
      <c r="A4" s="12" t="s">
        <v>2</v>
      </c>
      <c r="B4" s="12"/>
      <c r="C4" s="12"/>
      <c r="E4" s="12" t="s">
        <v>3</v>
      </c>
      <c r="F4" s="12"/>
      <c r="G4" s="12"/>
      <c r="I4" s="12" t="s">
        <v>234</v>
      </c>
      <c r="J4" s="12"/>
      <c r="K4" s="12"/>
      <c r="M4" s="12" t="s">
        <v>235</v>
      </c>
      <c r="N4" s="12"/>
      <c r="O4" s="12"/>
      <c r="Q4" s="12" t="s">
        <v>236</v>
      </c>
      <c r="R4" s="12"/>
      <c r="S4" s="12"/>
    </row>
    <row r="5" spans="1:19" ht="30" customHeight="1" x14ac:dyDescent="0.35">
      <c r="A5" s="118">
        <f ca="1">IFERROR(SUM(VENTAS!K4:K10000),0)</f>
        <v>0</v>
      </c>
      <c r="B5" s="118"/>
      <c r="C5" s="118"/>
      <c r="E5" s="119">
        <f>IFERROR(SUM(VENTAS!M4:M10000),0)</f>
        <v>0</v>
      </c>
      <c r="F5" s="119"/>
      <c r="G5" s="119"/>
      <c r="I5" s="120">
        <f>IFERROR(SUMIF(VENTAS!N4:N10000,"Emitida",VENTAS!K4:K10000),0)</f>
        <v>0</v>
      </c>
      <c r="J5" s="120"/>
      <c r="K5" s="120"/>
      <c r="M5" s="121">
        <f>IFERROR(SUMIFS(VENTAS!K4:K10000,VENTAS!N4:N10000,"Vencida"),0)</f>
        <v>0</v>
      </c>
      <c r="N5" s="121"/>
      <c r="O5" s="121"/>
      <c r="Q5" s="122">
        <f>IFERROR(COUNTIF(INVENTARIO!K4:K100,"🔴 Sin stock"),0)</f>
        <v>1</v>
      </c>
      <c r="R5" s="122"/>
      <c r="S5" s="122"/>
    </row>
    <row r="6" spans="1:19" ht="30" customHeight="1" x14ac:dyDescent="0.35">
      <c r="A6" s="118"/>
      <c r="B6" s="118"/>
      <c r="C6" s="118"/>
      <c r="E6" s="119"/>
      <c r="F6" s="119"/>
      <c r="G6" s="119"/>
      <c r="I6" s="120"/>
      <c r="J6" s="120"/>
      <c r="K6" s="120"/>
      <c r="M6" s="121"/>
      <c r="N6" s="121"/>
      <c r="O6" s="121"/>
      <c r="Q6" s="122"/>
      <c r="R6" s="122"/>
      <c r="S6" s="122"/>
    </row>
    <row r="8" spans="1:19" ht="19.5" customHeight="1" x14ac:dyDescent="0.35">
      <c r="A8" s="115" t="s">
        <v>237</v>
      </c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115"/>
    </row>
    <row r="9" spans="1:19" ht="18" customHeight="1" x14ac:dyDescent="0.35">
      <c r="A9" s="5" t="s">
        <v>238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spans="1:19" ht="25.5" customHeight="1" x14ac:dyDescent="0.35">
      <c r="A10" s="47" t="s">
        <v>239</v>
      </c>
      <c r="B10" s="47" t="s">
        <v>240</v>
      </c>
      <c r="C10" s="47" t="s">
        <v>241</v>
      </c>
      <c r="D10" s="47" t="s">
        <v>242</v>
      </c>
      <c r="E10" s="47" t="s">
        <v>243</v>
      </c>
      <c r="F10" s="47" t="s">
        <v>244</v>
      </c>
    </row>
    <row r="11" spans="1:19" ht="21.75" customHeight="1" x14ac:dyDescent="0.35">
      <c r="A11" s="84" t="s">
        <v>245</v>
      </c>
      <c r="B11" s="85" t="s">
        <v>246</v>
      </c>
      <c r="C11" s="86">
        <f ca="1">IFERROR(SUMIFS(VENTAS!K4:K10000,VENTAS!N4:N10000,"Emitida",VENTAS!S4:S10000,"&gt;="&amp;TODAY()-15),0)</f>
        <v>0</v>
      </c>
      <c r="D11" s="87">
        <f ca="1">IFERROR(COUNTIFS(VENTAS!N4:N10000,"Emitida",VENTAS!S4:S10000,"&gt;="&amp;TODAY()-15),0)</f>
        <v>0</v>
      </c>
      <c r="E11" s="73">
        <f ca="1">IFERROR(C11/SUM(C11:C14),0)</f>
        <v>0</v>
      </c>
      <c r="F11" s="85" t="s">
        <v>247</v>
      </c>
    </row>
    <row r="12" spans="1:19" ht="21.75" customHeight="1" x14ac:dyDescent="0.35">
      <c r="A12" s="88" t="s">
        <v>248</v>
      </c>
      <c r="B12" s="89" t="s">
        <v>249</v>
      </c>
      <c r="C12" s="90">
        <f ca="1">IFERROR(SUMIFS(VENTAS!K4:K10000,VENTAS!N4:N10000,"Emitida",VENTAS!S4:S10000,"&gt;="&amp;TODAY()-30,VENTAS!S4:S10000,"&lt;"&amp;TODAY()-15),0)</f>
        <v>0</v>
      </c>
      <c r="D12" s="91">
        <f ca="1">IFERROR(COUNTIFS(VENTAS!N4:N10000,"Emitida",VENTAS!S4:S10000,"&gt;="&amp;TODAY()-30,VENTAS!S4:S10000,"&lt;"&amp;TODAY()-15),0)</f>
        <v>0</v>
      </c>
      <c r="E12" s="75">
        <f ca="1">IFERROR(C12/SUM(C11:C14),0)</f>
        <v>0</v>
      </c>
      <c r="F12" s="89" t="s">
        <v>250</v>
      </c>
    </row>
    <row r="13" spans="1:19" ht="21.75" customHeight="1" x14ac:dyDescent="0.35">
      <c r="A13" s="92" t="s">
        <v>251</v>
      </c>
      <c r="B13" s="93" t="s">
        <v>252</v>
      </c>
      <c r="C13" s="94">
        <f ca="1">IFERROR(SUMIFS(VENTAS!K4:K10000,VENTAS!N4:N10000,"Emitida",VENTAS!S4:S10000,"&gt;="&amp;TODAY()-60,VENTAS!S4:S10000,"&lt;"&amp;TODAY()-30),0)</f>
        <v>0</v>
      </c>
      <c r="D13" s="95">
        <f ca="1">IFERROR(COUNTIFS(VENTAS!N4:N10000,"Emitida",VENTAS!S4:S10000,"&gt;="&amp;TODAY()-60,VENTAS!S4:S10000,"&lt;"&amp;TODAY()-30),0)</f>
        <v>0</v>
      </c>
      <c r="E13" s="73">
        <f ca="1">IFERROR(C13/SUM(C11:C14),0)</f>
        <v>0</v>
      </c>
      <c r="F13" s="93" t="s">
        <v>253</v>
      </c>
    </row>
    <row r="14" spans="1:19" ht="21.75" customHeight="1" x14ac:dyDescent="0.35">
      <c r="A14" s="96" t="s">
        <v>254</v>
      </c>
      <c r="B14" s="97" t="s">
        <v>255</v>
      </c>
      <c r="C14" s="98">
        <f ca="1">IFERROR(SUMIFS(VENTAS!K4:K10000,VENTAS!N4:N10000,"Emitida",VENTAS!S4:S10000,"&lt;"&amp;TODAY()-60),0)</f>
        <v>0</v>
      </c>
      <c r="D14" s="99">
        <f ca="1">IFERROR(COUNTIFS(VENTAS!N4:N10000,"Emitida",VENTAS!S4:S10000,"&lt;"&amp;TODAY()-60),0)</f>
        <v>0</v>
      </c>
      <c r="E14" s="75">
        <f ca="1">IFERROR(C14/SUM(C11:C14),0)</f>
        <v>0</v>
      </c>
      <c r="F14" s="97" t="s">
        <v>256</v>
      </c>
    </row>
    <row r="15" spans="1:19" ht="15" customHeight="1" x14ac:dyDescent="0.35">
      <c r="A15" s="1" t="s">
        <v>257</v>
      </c>
      <c r="B15" s="1"/>
      <c r="C15" s="100">
        <f>IFERROR(SUMIF(VENTAS!N4:N10000,"Emitida",VENTAS!K4:K10000),0)</f>
        <v>0</v>
      </c>
      <c r="D15" s="42"/>
      <c r="E15" s="42"/>
      <c r="F15" s="42"/>
    </row>
    <row r="18" spans="1:18" ht="19.5" customHeight="1" x14ac:dyDescent="0.35">
      <c r="A18" s="115" t="s">
        <v>258</v>
      </c>
      <c r="B18" s="115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5"/>
      <c r="R18" s="115"/>
    </row>
    <row r="19" spans="1:18" ht="18" customHeight="1" x14ac:dyDescent="0.35">
      <c r="A19" s="117" t="s">
        <v>259</v>
      </c>
      <c r="B19" s="117"/>
      <c r="C19" s="117"/>
      <c r="D19" s="117"/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</row>
    <row r="20" spans="1:18" ht="36" customHeight="1" x14ac:dyDescent="0.35">
      <c r="A20" s="47" t="s">
        <v>209</v>
      </c>
      <c r="B20" s="47" t="s">
        <v>210</v>
      </c>
      <c r="C20" s="47" t="s">
        <v>142</v>
      </c>
      <c r="D20" s="47" t="s">
        <v>260</v>
      </c>
      <c r="E20" s="47" t="s">
        <v>166</v>
      </c>
      <c r="F20" s="47" t="s">
        <v>165</v>
      </c>
      <c r="G20" s="47" t="s">
        <v>261</v>
      </c>
      <c r="H20" s="47" t="s">
        <v>262</v>
      </c>
      <c r="I20" s="47" t="s">
        <v>263</v>
      </c>
      <c r="J20" s="47" t="s">
        <v>169</v>
      </c>
      <c r="L20" t="s">
        <v>286</v>
      </c>
    </row>
    <row r="21" spans="1:18" ht="19.5" customHeight="1" x14ac:dyDescent="0.35">
      <c r="A21" s="19" t="s">
        <v>36</v>
      </c>
      <c r="B21" s="29" t="s">
        <v>38</v>
      </c>
      <c r="C21" s="29" t="s">
        <v>39</v>
      </c>
      <c r="D21" s="29" t="s">
        <v>40</v>
      </c>
      <c r="E21" s="101">
        <f>IFERROR(VLOOKUP(C21,INVENTARIO!C4:H100,6,0),0)</f>
        <v>0</v>
      </c>
      <c r="F21" s="68">
        <f>IFERROR(SUMIFS(VENTAS!H4:H10000,VENTAS!E4:E10000,C21,VENTAS!J4:J10000,"Venta"),0)</f>
        <v>0</v>
      </c>
      <c r="G21" s="102">
        <f ca="1">IF(F21=0,0,IFERROR(F21/MAX(1,ROUND((TODAY()-DATE(2026,1,1))/7,1)),0))</f>
        <v>0</v>
      </c>
      <c r="H21" s="103" t="str">
        <f t="shared" ref="H21:H33" ca="1" si="0">IF(G21=0,"Sin venta",IFERROR(ROUND(E21/G21,1),0))</f>
        <v>Sin venta</v>
      </c>
      <c r="I21" s="62" t="str">
        <f ca="1">IF(G21=0,"—",IFERROR(TODAY()+H21*7,"—"))</f>
        <v>—</v>
      </c>
      <c r="J21" s="34" t="str">
        <f t="shared" ref="J21:J33" ca="1" si="1">IF(G21=0,"📊 Sin datos",IF(E21&lt;=0,"🔴 Agotado",IF(ISNUMBER(H21)*H21&lt;=2,"🔴 &lt;2 sem",IF(ISNUMBER(H21)*H21&lt;=4,"🟡 2-4 sem","✅ +4 sem"))))</f>
        <v>📊 Sin datos</v>
      </c>
    </row>
    <row r="22" spans="1:18" ht="19.5" customHeight="1" x14ac:dyDescent="0.35">
      <c r="A22" s="19" t="s">
        <v>36</v>
      </c>
      <c r="B22" s="20" t="s">
        <v>38</v>
      </c>
      <c r="C22" s="20" t="s">
        <v>43</v>
      </c>
      <c r="D22" s="20" t="s">
        <v>44</v>
      </c>
      <c r="E22" s="104">
        <f>IFERROR(VLOOKUP(C22,INVENTARIO!C4:H100,6,0),0)</f>
        <v>50</v>
      </c>
      <c r="F22" s="64">
        <f>IFERROR(SUMIFS(VENTAS!H4:H10000,VENTAS!E4:E10000,C22,VENTAS!J4:J10000,"Venta"),0)</f>
        <v>0</v>
      </c>
      <c r="G22" s="105">
        <f t="shared" ref="G21:G33" ca="1" si="2">IF(F22=0,0,IFERROR(F22/MAX(1,ROUND((TODAY()-DATE(2026,1,1))/7,1)),0))</f>
        <v>0</v>
      </c>
      <c r="H22" s="106" t="str">
        <f t="shared" ca="1" si="0"/>
        <v>Sin venta</v>
      </c>
      <c r="I22" s="59" t="str">
        <f t="shared" ref="I21:I33" ca="1" si="3">IF(G22=0,"—",IFERROR(TODAY()+H22*7,"—"))</f>
        <v>—</v>
      </c>
      <c r="J22" s="27" t="str">
        <f t="shared" ca="1" si="1"/>
        <v>📊 Sin datos</v>
      </c>
    </row>
    <row r="23" spans="1:18" ht="19.5" customHeight="1" x14ac:dyDescent="0.35">
      <c r="A23" s="19" t="s">
        <v>36</v>
      </c>
      <c r="B23" s="29" t="s">
        <v>38</v>
      </c>
      <c r="C23" s="29" t="s">
        <v>45</v>
      </c>
      <c r="D23" s="29" t="s">
        <v>46</v>
      </c>
      <c r="E23" s="101">
        <f>IFERROR(VLOOKUP(C23,INVENTARIO!C4:H100,6,0),0)</f>
        <v>40</v>
      </c>
      <c r="F23" s="68">
        <f>IFERROR(SUMIFS(VENTAS!H4:H10000,VENTAS!E4:E10000,C23,VENTAS!J4:J10000,"Venta"),0)</f>
        <v>0</v>
      </c>
      <c r="G23" s="102">
        <f t="shared" ca="1" si="2"/>
        <v>0</v>
      </c>
      <c r="H23" s="103" t="str">
        <f t="shared" ca="1" si="0"/>
        <v>Sin venta</v>
      </c>
      <c r="I23" s="62" t="str">
        <f t="shared" ca="1" si="3"/>
        <v>—</v>
      </c>
      <c r="J23" s="34" t="str">
        <f t="shared" ca="1" si="1"/>
        <v>📊 Sin datos</v>
      </c>
    </row>
    <row r="24" spans="1:18" ht="19.5" customHeight="1" x14ac:dyDescent="0.35">
      <c r="A24" s="19" t="s">
        <v>36</v>
      </c>
      <c r="B24" s="20" t="s">
        <v>38</v>
      </c>
      <c r="C24" s="20" t="s">
        <v>48</v>
      </c>
      <c r="D24" s="20" t="s">
        <v>49</v>
      </c>
      <c r="E24" s="104">
        <f>IFERROR(VLOOKUP(C24,INVENTARIO!C4:H100,6,0),0)</f>
        <v>40</v>
      </c>
      <c r="F24" s="64">
        <f>IFERROR(SUMIFS(VENTAS!H4:H10000,VENTAS!E4:E10000,C24,VENTAS!J4:J10000,"Venta"),0)</f>
        <v>0</v>
      </c>
      <c r="G24" s="105">
        <f t="shared" ca="1" si="2"/>
        <v>0</v>
      </c>
      <c r="H24" s="106" t="str">
        <f t="shared" ca="1" si="0"/>
        <v>Sin venta</v>
      </c>
      <c r="I24" s="59" t="str">
        <f t="shared" ca="1" si="3"/>
        <v>—</v>
      </c>
      <c r="J24" s="27" t="str">
        <f t="shared" ca="1" si="1"/>
        <v>📊 Sin datos</v>
      </c>
      <c r="N24" t="s">
        <v>287</v>
      </c>
    </row>
    <row r="25" spans="1:18" ht="19.5" customHeight="1" x14ac:dyDescent="0.35">
      <c r="A25" s="19" t="s">
        <v>36</v>
      </c>
      <c r="B25" s="29" t="s">
        <v>38</v>
      </c>
      <c r="C25" s="29" t="s">
        <v>50</v>
      </c>
      <c r="D25" s="29" t="s">
        <v>51</v>
      </c>
      <c r="E25" s="101">
        <f>IFERROR(VLOOKUP(C25,INVENTARIO!C4:H100,6,0),0)</f>
        <v>35</v>
      </c>
      <c r="F25" s="68">
        <f>IFERROR(SUMIFS(VENTAS!H4:H10000,VENTAS!E4:E10000,C25,VENTAS!J4:J10000,"Venta"),0)</f>
        <v>0</v>
      </c>
      <c r="G25" s="102">
        <f t="shared" ca="1" si="2"/>
        <v>0</v>
      </c>
      <c r="H25" s="103" t="str">
        <f t="shared" ca="1" si="0"/>
        <v>Sin venta</v>
      </c>
      <c r="I25" s="62" t="str">
        <f t="shared" ca="1" si="3"/>
        <v>—</v>
      </c>
      <c r="J25" s="34" t="str">
        <f t="shared" ca="1" si="1"/>
        <v>📊 Sin datos</v>
      </c>
    </row>
    <row r="26" spans="1:18" ht="19.5" customHeight="1" x14ac:dyDescent="0.35">
      <c r="A26" s="35" t="s">
        <v>72</v>
      </c>
      <c r="B26" s="20" t="s">
        <v>73</v>
      </c>
      <c r="C26" s="20" t="s">
        <v>74</v>
      </c>
      <c r="D26" s="20" t="s">
        <v>75</v>
      </c>
      <c r="E26" s="104">
        <f>IFERROR(VLOOKUP(C26,INVENTARIO!C4:H100,6,0),0)</f>
        <v>28</v>
      </c>
      <c r="F26" s="64">
        <f>IFERROR(SUMIFS(VENTAS!H4:H10000,VENTAS!E4:E10000,C26,VENTAS!J4:J10000,"Venta"),0)</f>
        <v>0</v>
      </c>
      <c r="G26" s="105">
        <f t="shared" ca="1" si="2"/>
        <v>0</v>
      </c>
      <c r="H26" s="106" t="str">
        <f t="shared" ca="1" si="0"/>
        <v>Sin venta</v>
      </c>
      <c r="I26" s="59" t="str">
        <f t="shared" ca="1" si="3"/>
        <v>—</v>
      </c>
      <c r="J26" s="27" t="str">
        <f t="shared" ca="1" si="1"/>
        <v>📊 Sin datos</v>
      </c>
    </row>
    <row r="27" spans="1:18" ht="19.5" customHeight="1" x14ac:dyDescent="0.35">
      <c r="A27" s="35" t="s">
        <v>72</v>
      </c>
      <c r="B27" s="29" t="s">
        <v>73</v>
      </c>
      <c r="C27" s="29" t="s">
        <v>76</v>
      </c>
      <c r="D27" s="29" t="s">
        <v>77</v>
      </c>
      <c r="E27" s="101">
        <f>IFERROR(VLOOKUP(C27,INVENTARIO!C4:H100,6,0),0)</f>
        <v>32</v>
      </c>
      <c r="F27" s="68">
        <f>IFERROR(SUMIFS(VENTAS!H4:H10000,VENTAS!E4:E10000,C27,VENTAS!J4:J10000,"Venta"),0)</f>
        <v>0</v>
      </c>
      <c r="G27" s="102">
        <f t="shared" ca="1" si="2"/>
        <v>0</v>
      </c>
      <c r="H27" s="103" t="str">
        <f t="shared" ca="1" si="0"/>
        <v>Sin venta</v>
      </c>
      <c r="I27" s="62" t="str">
        <f t="shared" ca="1" si="3"/>
        <v>—</v>
      </c>
      <c r="J27" s="34" t="str">
        <f t="shared" ca="1" si="1"/>
        <v>📊 Sin datos</v>
      </c>
    </row>
    <row r="28" spans="1:18" ht="19.5" customHeight="1" x14ac:dyDescent="0.35">
      <c r="A28" s="35" t="s">
        <v>72</v>
      </c>
      <c r="B28" s="20" t="s">
        <v>78</v>
      </c>
      <c r="C28" s="20" t="s">
        <v>79</v>
      </c>
      <c r="D28" s="20" t="s">
        <v>80</v>
      </c>
      <c r="E28" s="104">
        <f>IFERROR(VLOOKUP(C28,INVENTARIO!C4:H100,6,0),0)</f>
        <v>30</v>
      </c>
      <c r="F28" s="64">
        <f>IFERROR(SUMIFS(VENTAS!H4:H10000,VENTAS!E4:E10000,C28,VENTAS!J4:J10000,"Venta"),0)</f>
        <v>0</v>
      </c>
      <c r="G28" s="105">
        <f t="shared" ca="1" si="2"/>
        <v>0</v>
      </c>
      <c r="H28" s="106" t="str">
        <f t="shared" ca="1" si="0"/>
        <v>Sin venta</v>
      </c>
      <c r="I28" s="59" t="str">
        <f t="shared" ca="1" si="3"/>
        <v>—</v>
      </c>
      <c r="J28" s="27" t="str">
        <f t="shared" ca="1" si="1"/>
        <v>📊 Sin datos</v>
      </c>
    </row>
    <row r="29" spans="1:18" ht="19.5" customHeight="1" x14ac:dyDescent="0.35">
      <c r="A29" s="35" t="s">
        <v>72</v>
      </c>
      <c r="B29" s="29" t="s">
        <v>81</v>
      </c>
      <c r="C29" s="29" t="s">
        <v>82</v>
      </c>
      <c r="D29" s="29" t="s">
        <v>83</v>
      </c>
      <c r="E29" s="101">
        <f>IFERROR(VLOOKUP(C29,INVENTARIO!C4:H100,6,0),0)</f>
        <v>31</v>
      </c>
      <c r="F29" s="68">
        <f>IFERROR(SUMIFS(VENTAS!H4:H10000,VENTAS!E4:E10000,C29,VENTAS!J4:J10000,"Venta"),0)</f>
        <v>0</v>
      </c>
      <c r="G29" s="102">
        <f t="shared" ca="1" si="2"/>
        <v>0</v>
      </c>
      <c r="H29" s="103" t="str">
        <f t="shared" ca="1" si="0"/>
        <v>Sin venta</v>
      </c>
      <c r="I29" s="62" t="str">
        <f t="shared" ca="1" si="3"/>
        <v>—</v>
      </c>
      <c r="J29" s="34" t="str">
        <f t="shared" ca="1" si="1"/>
        <v>📊 Sin datos</v>
      </c>
    </row>
    <row r="30" spans="1:18" ht="19.5" customHeight="1" x14ac:dyDescent="0.35">
      <c r="A30" s="35" t="s">
        <v>72</v>
      </c>
      <c r="B30" s="20" t="s">
        <v>91</v>
      </c>
      <c r="C30" s="20" t="s">
        <v>92</v>
      </c>
      <c r="D30" s="20" t="s">
        <v>93</v>
      </c>
      <c r="E30" s="104">
        <f>IFERROR(VLOOKUP(C30,INVENTARIO!C4:H100,6,0),0)</f>
        <v>15</v>
      </c>
      <c r="F30" s="64">
        <f>IFERROR(SUMIFS(VENTAS!H4:H10000,VENTAS!E4:E10000,C30,VENTAS!J4:J10000,"Venta"),0)</f>
        <v>0</v>
      </c>
      <c r="G30" s="105">
        <f t="shared" ca="1" si="2"/>
        <v>0</v>
      </c>
      <c r="H30" s="106" t="str">
        <f t="shared" ca="1" si="0"/>
        <v>Sin venta</v>
      </c>
      <c r="I30" s="59" t="str">
        <f t="shared" ca="1" si="3"/>
        <v>—</v>
      </c>
      <c r="J30" s="27" t="str">
        <f t="shared" ca="1" si="1"/>
        <v>📊 Sin datos</v>
      </c>
    </row>
    <row r="31" spans="1:18" ht="19.5" customHeight="1" x14ac:dyDescent="0.35">
      <c r="A31" s="36" t="s">
        <v>84</v>
      </c>
      <c r="B31" s="29" t="s">
        <v>85</v>
      </c>
      <c r="C31" s="29" t="s">
        <v>86</v>
      </c>
      <c r="D31" s="29" t="s">
        <v>87</v>
      </c>
      <c r="E31" s="101">
        <f>IFERROR(VLOOKUP(C31,INVENTARIO!C4:H100,6,0),0)</f>
        <v>30</v>
      </c>
      <c r="F31" s="68">
        <f>IFERROR(SUMIFS(VENTAS!H4:H10000,VENTAS!E4:E10000,C31,VENTAS!J4:J10000,"Venta"),0)</f>
        <v>0</v>
      </c>
      <c r="G31" s="102">
        <f t="shared" ca="1" si="2"/>
        <v>0</v>
      </c>
      <c r="H31" s="103" t="str">
        <f t="shared" ca="1" si="0"/>
        <v>Sin venta</v>
      </c>
      <c r="I31" s="62" t="str">
        <f t="shared" ca="1" si="3"/>
        <v>—</v>
      </c>
      <c r="J31" s="34" t="str">
        <f t="shared" ca="1" si="1"/>
        <v>📊 Sin datos</v>
      </c>
    </row>
    <row r="32" spans="1:18" ht="19.5" customHeight="1" x14ac:dyDescent="0.35">
      <c r="A32" s="36" t="s">
        <v>84</v>
      </c>
      <c r="B32" s="20" t="s">
        <v>85</v>
      </c>
      <c r="C32" s="20" t="s">
        <v>88</v>
      </c>
      <c r="D32" s="20" t="s">
        <v>89</v>
      </c>
      <c r="E32" s="104">
        <f>IFERROR(VLOOKUP(C32,INVENTARIO!C4:H100,6,0),0)</f>
        <v>30</v>
      </c>
      <c r="F32" s="64">
        <f>IFERROR(SUMIFS(VENTAS!H4:H10000,VENTAS!E4:E10000,C32,VENTAS!J4:J10000,"Venta"),0)</f>
        <v>0</v>
      </c>
      <c r="G32" s="105">
        <f t="shared" ca="1" si="2"/>
        <v>0</v>
      </c>
      <c r="H32" s="106" t="str">
        <f t="shared" ca="1" si="0"/>
        <v>Sin venta</v>
      </c>
      <c r="I32" s="59" t="str">
        <f t="shared" ca="1" si="3"/>
        <v>—</v>
      </c>
      <c r="J32" s="27" t="str">
        <f t="shared" ca="1" si="1"/>
        <v>📊 Sin datos</v>
      </c>
    </row>
    <row r="33" spans="1:18" ht="19.5" customHeight="1" x14ac:dyDescent="0.35">
      <c r="A33" s="38" t="s">
        <v>94</v>
      </c>
      <c r="B33" s="29" t="s">
        <v>95</v>
      </c>
      <c r="C33" s="29" t="s">
        <v>96</v>
      </c>
      <c r="D33" s="29" t="s">
        <v>97</v>
      </c>
      <c r="E33" s="101">
        <f>IFERROR(VLOOKUP(C33,INVENTARIO!C4:H100,6,0),0)</f>
        <v>22</v>
      </c>
      <c r="F33" s="68">
        <f>IFERROR(SUMIFS(VENTAS!H4:H10000,VENTAS!E4:E10000,C33,VENTAS!J4:J10000,"Venta"),0)</f>
        <v>0</v>
      </c>
      <c r="G33" s="102">
        <f t="shared" ca="1" si="2"/>
        <v>0</v>
      </c>
      <c r="H33" s="103" t="str">
        <f t="shared" ca="1" si="0"/>
        <v>Sin venta</v>
      </c>
      <c r="I33" s="62" t="str">
        <f t="shared" ca="1" si="3"/>
        <v>—</v>
      </c>
      <c r="J33" s="34" t="str">
        <f t="shared" ca="1" si="1"/>
        <v>📊 Sin datos</v>
      </c>
    </row>
    <row r="37" spans="1:18" ht="19.5" customHeight="1" x14ac:dyDescent="0.35">
      <c r="A37" s="115" t="s">
        <v>264</v>
      </c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</row>
    <row r="38" spans="1:18" ht="27.75" customHeight="1" x14ac:dyDescent="0.35">
      <c r="A38" s="47" t="s">
        <v>209</v>
      </c>
      <c r="B38" s="47" t="s">
        <v>265</v>
      </c>
      <c r="C38" s="47" t="s">
        <v>266</v>
      </c>
      <c r="D38" s="47" t="s">
        <v>267</v>
      </c>
      <c r="E38" s="47" t="s">
        <v>268</v>
      </c>
      <c r="F38" s="47" t="s">
        <v>269</v>
      </c>
      <c r="G38" s="47" t="s">
        <v>270</v>
      </c>
      <c r="H38" s="47" t="s">
        <v>271</v>
      </c>
    </row>
    <row r="39" spans="1:18" ht="24" customHeight="1" x14ac:dyDescent="0.35">
      <c r="A39" s="19" t="s">
        <v>36</v>
      </c>
      <c r="B39" s="49">
        <f>IFERROR(SUMIFS(VENTAS!K4:K10000,VENTAS!C4:C10000,A39,VENTAS!J4:J10000,"Venta"),0)</f>
        <v>0</v>
      </c>
      <c r="C39" s="32">
        <f>IFERROR(SUMIFS(VENTAS!M4:M10000,VENTAS!C4:C10000,A39,VENTAS!J4:J10000,"Venta"),0)</f>
        <v>0</v>
      </c>
      <c r="D39" s="107">
        <f>IFERROR(C39/B39,0)</f>
        <v>0</v>
      </c>
      <c r="E39" s="108">
        <f>IFERROR(SUMIFS(VENTAS!K4:K10000,VENTAS!C4:C10000,A39,VENTAS!N4:N10000,"Emitida"),0)</f>
        <v>0</v>
      </c>
      <c r="F39" s="32">
        <f>C39-E39</f>
        <v>0</v>
      </c>
      <c r="G39" s="109" t="s">
        <v>272</v>
      </c>
      <c r="H39" s="110" t="s">
        <v>273</v>
      </c>
    </row>
    <row r="40" spans="1:18" ht="24" customHeight="1" x14ac:dyDescent="0.35">
      <c r="A40" s="35" t="s">
        <v>72</v>
      </c>
      <c r="B40" s="51">
        <f>IFERROR(SUMIFS(VENTAS!K4:K10000,VENTAS!C4:C10000,A40,VENTAS!J4:J10000,"Venta"),0)</f>
        <v>0</v>
      </c>
      <c r="C40" s="25">
        <f>IFERROR(SUMIFS(VENTAS!M4:M10000,VENTAS!C4:C10000,A40,VENTAS!J4:J10000,"Venta"),0)</f>
        <v>0</v>
      </c>
      <c r="D40" s="111">
        <f>IFERROR(C40/B40,0)</f>
        <v>0</v>
      </c>
      <c r="E40" s="112">
        <f>IFERROR(SUMIFS(VENTAS!K4:K10000,VENTAS!C4:C10000,A40,VENTAS!N4:N10000,"Emitida"),0)</f>
        <v>0</v>
      </c>
      <c r="F40" s="25">
        <f>C40-E40</f>
        <v>0</v>
      </c>
      <c r="G40" s="113" t="s">
        <v>274</v>
      </c>
      <c r="H40" s="114" t="s">
        <v>275</v>
      </c>
    </row>
    <row r="41" spans="1:18" ht="24" customHeight="1" x14ac:dyDescent="0.35">
      <c r="A41" s="36" t="s">
        <v>84</v>
      </c>
      <c r="B41" s="49">
        <f>IFERROR(SUMIFS(VENTAS!K4:K10000,VENTAS!C4:C10000,A41,VENTAS!J4:J10000,"Venta"),0)</f>
        <v>0</v>
      </c>
      <c r="C41" s="32">
        <f>IFERROR(SUMIFS(VENTAS!M4:M10000,VENTAS!C4:C10000,A41,VENTAS!J4:J10000,"Venta"),0)</f>
        <v>0</v>
      </c>
      <c r="D41" s="107">
        <f>IFERROR(C41/B41,0)</f>
        <v>0</v>
      </c>
      <c r="E41" s="108">
        <f>IFERROR(SUMIFS(VENTAS!K4:K10000,VENTAS!C4:C10000,A41,VENTAS!N4:N10000,"Emitida"),0)</f>
        <v>0</v>
      </c>
      <c r="F41" s="32">
        <f>C41-E41</f>
        <v>0</v>
      </c>
      <c r="G41" s="109" t="s">
        <v>274</v>
      </c>
      <c r="H41" s="110" t="s">
        <v>276</v>
      </c>
    </row>
    <row r="42" spans="1:18" ht="24" customHeight="1" x14ac:dyDescent="0.35">
      <c r="A42" s="38" t="s">
        <v>94</v>
      </c>
      <c r="B42" s="51">
        <f>IFERROR(SUMIFS(VENTAS!K4:K10000,VENTAS!C4:C10000,A42,VENTAS!J4:J10000,"Venta"),0)</f>
        <v>0</v>
      </c>
      <c r="C42" s="25">
        <f>IFERROR(SUMIFS(VENTAS!M4:M10000,VENTAS!C4:C10000,A42,VENTAS!J4:J10000,"Venta"),0)</f>
        <v>0</v>
      </c>
      <c r="D42" s="111">
        <f>IFERROR(C42/B42,0)</f>
        <v>0</v>
      </c>
      <c r="E42" s="112">
        <f>IFERROR(SUMIFS(VENTAS!K4:K10000,VENTAS!C4:C10000,A42,VENTAS!N4:N10000,"Emitida"),0)</f>
        <v>0</v>
      </c>
      <c r="F42" s="25">
        <f>C42-E42</f>
        <v>0</v>
      </c>
      <c r="G42" s="113" t="s">
        <v>274</v>
      </c>
      <c r="H42" s="114" t="s">
        <v>277</v>
      </c>
    </row>
    <row r="44" spans="1:18" ht="15.75" customHeight="1" x14ac:dyDescent="0.35">
      <c r="A44" s="13" t="s">
        <v>278</v>
      </c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</row>
  </sheetData>
  <mergeCells count="19">
    <mergeCell ref="A37:R37"/>
    <mergeCell ref="A44:R44"/>
    <mergeCell ref="A8:R8"/>
    <mergeCell ref="A9:R9"/>
    <mergeCell ref="A15:B15"/>
    <mergeCell ref="A18:R18"/>
    <mergeCell ref="A19:R19"/>
    <mergeCell ref="A5:C6"/>
    <mergeCell ref="E5:G6"/>
    <mergeCell ref="I5:K6"/>
    <mergeCell ref="M5:O6"/>
    <mergeCell ref="Q5:S6"/>
    <mergeCell ref="A1:R1"/>
    <mergeCell ref="A2:R2"/>
    <mergeCell ref="A4:C4"/>
    <mergeCell ref="E4:G4"/>
    <mergeCell ref="I4:K4"/>
    <mergeCell ref="M4:O4"/>
    <mergeCell ref="Q4:S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PANEL</vt:lpstr>
      <vt:lpstr>CONFIG</vt:lpstr>
      <vt:lpstr>VENTAS</vt:lpstr>
      <vt:lpstr>INVENTARIO</vt:lpstr>
      <vt:lpstr>GRÁFICO</vt:lpstr>
      <vt:lpstr>POP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Contacto Nuvaoxi</cp:lastModifiedBy>
  <cp:revision>3</cp:revision>
  <dcterms:created xsi:type="dcterms:W3CDTF">2026-07-06T13:41:58Z</dcterms:created>
  <dcterms:modified xsi:type="dcterms:W3CDTF">2026-07-06T16:35:49Z</dcterms:modified>
  <dc:language>en-US</dc:language>
</cp:coreProperties>
</file>