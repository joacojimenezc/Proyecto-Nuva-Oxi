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"/>
    </mc:Choice>
  </mc:AlternateContent>
  <xr:revisionPtr revIDLastSave="0" documentId="13_ncr:1_{D5079DB7-0119-4F5C-97C2-A25B0733689F}" xr6:coauthVersionLast="47" xr6:coauthVersionMax="47" xr10:uidLastSave="{00000000-0000-0000-0000-000000000000}"/>
  <bookViews>
    <workbookView xWindow="-110" yWindow="-110" windowWidth="19420" windowHeight="10300" firstSheet="12" activeTab="13" xr2:uid="{B976C6BC-3F23-46F3-B9AF-005A9C4F19E5}"/>
  </bookViews>
  <sheets>
    <sheet name="13_Dashboard" sheetId="14" r:id="rId1"/>
    <sheet name="12_POP" sheetId="13" r:id="rId2"/>
    <sheet name="11_Tareas_Decisiones" sheetId="12" r:id="rId3"/>
    <sheet name="10_Condiciones_Margen" sheetId="11" r:id="rId4"/>
    <sheet name="09_Sell_In" sheetId="10" r:id="rId5"/>
    <sheet name="08_Pedidos_OC" sheetId="9" r:id="rId6"/>
    <sheet name="07_Stock_Canal" sheetId="8" r:id="rId7"/>
    <sheet name="06_Registro_PDV" sheetId="7" r:id="rId8"/>
    <sheet name="05_Plan_Visitas" sheetId="6" r:id="rId9"/>
    <sheet name="04_Priorizacion" sheetId="5" r:id="rId10"/>
    <sheet name="03_Maestro_SKU" sheetId="4" r:id="rId11"/>
    <sheet name="02_Maestro_PDV" sheetId="3" r:id="rId12"/>
    <sheet name="01_Maestro_Clientes" sheetId="2" r:id="rId13"/>
    <sheet name="00_Parametros" sheetId="1" r:id="rId14"/>
  </sheets>
  <definedNames>
    <definedName name="AnioOp">'00_Parametros'!$B$5</definedName>
    <definedName name="Condicion">'00_Parametros'!$G$4:$G$5</definedName>
    <definedName name="CostoSup">'00_Parametros'!$B$6</definedName>
    <definedName name="EstadosCliente">'00_Parametros'!$J$4:$J$18</definedName>
    <definedName name="EstadosFactura">'00_Parametros'!$M$4:$M$8</definedName>
    <definedName name="EstadosPDV">'00_Parametros'!$O$4:$O$7</definedName>
    <definedName name="EstadosPedido">'00_Parametros'!$K$4:$K$8</definedName>
    <definedName name="Formato">'00_Parametros'!$H$4:$H$6</definedName>
    <definedName name="Frecuencias">'00_Parametros'!$N$4:$N$6</definedName>
    <definedName name="FuentesSellOut">'00_Parametros'!$I$4:$I$7</definedName>
    <definedName name="IVA">'00_Parametros'!$B$4</definedName>
    <definedName name="Responsables">'00_Parametros'!$E$4:$E$5</definedName>
    <definedName name="Segmentos">'00_Parametros'!$F$4:$F$8</definedName>
    <definedName name="TiposPOP">'00_Parametros'!$L$4:$L$10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4" l="1"/>
  <c r="B15" i="14"/>
  <c r="B10" i="14"/>
  <c r="B9" i="14"/>
  <c r="B8" i="14"/>
  <c r="B7" i="14"/>
  <c r="B6" i="14"/>
  <c r="B5" i="14"/>
  <c r="B4" i="14"/>
  <c r="J4" i="11"/>
  <c r="I4" i="11"/>
  <c r="H4" i="11"/>
  <c r="J3" i="11"/>
  <c r="I3" i="11"/>
  <c r="H3" i="11"/>
  <c r="J2" i="11"/>
  <c r="I2" i="11"/>
  <c r="H2" i="11"/>
  <c r="M8" i="10"/>
  <c r="K8" i="10"/>
  <c r="H8" i="10"/>
  <c r="P7" i="10"/>
  <c r="M7" i="10"/>
  <c r="L7" i="10"/>
  <c r="K7" i="10"/>
  <c r="P6" i="10"/>
  <c r="M6" i="10"/>
  <c r="L6" i="10"/>
  <c r="K6" i="10"/>
  <c r="P5" i="10"/>
  <c r="M5" i="10"/>
  <c r="L5" i="10"/>
  <c r="K5" i="10"/>
  <c r="P4" i="10"/>
  <c r="M4" i="10"/>
  <c r="L4" i="10"/>
  <c r="K4" i="10"/>
  <c r="P3" i="10"/>
  <c r="M3" i="10"/>
  <c r="L3" i="10"/>
  <c r="K3" i="10"/>
  <c r="P2" i="10"/>
  <c r="M2" i="10"/>
  <c r="L2" i="10"/>
  <c r="K2" i="10"/>
  <c r="L4" i="9"/>
  <c r="L3" i="9"/>
  <c r="L2" i="9"/>
  <c r="H14" i="8"/>
  <c r="G14" i="8"/>
  <c r="E14" i="8"/>
  <c r="H13" i="8"/>
  <c r="G13" i="8"/>
  <c r="E13" i="8"/>
  <c r="H12" i="8"/>
  <c r="G12" i="8"/>
  <c r="E12" i="8"/>
  <c r="I8" i="8"/>
  <c r="G8" i="8"/>
  <c r="I7" i="8"/>
  <c r="G7" i="8"/>
  <c r="I6" i="8"/>
  <c r="G6" i="8"/>
  <c r="I5" i="8"/>
  <c r="G5" i="8"/>
  <c r="I4" i="8"/>
  <c r="G4" i="8"/>
  <c r="I3" i="8"/>
  <c r="G3" i="8"/>
  <c r="G3" i="7"/>
  <c r="G2" i="7"/>
  <c r="J7" i="5"/>
  <c r="I7" i="5"/>
  <c r="J6" i="5"/>
  <c r="I6" i="5"/>
  <c r="J5" i="5"/>
  <c r="I5" i="5"/>
  <c r="J4" i="5"/>
  <c r="I4" i="5"/>
  <c r="J3" i="5"/>
  <c r="I3" i="5"/>
  <c r="J2" i="5"/>
  <c r="I2" i="5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<sst xmlns="http://schemas.openxmlformats.org/spreadsheetml/2006/main" count="755" uniqueCount="412">
  <si>
    <t>PARAMETROS GLOBALES</t>
  </si>
  <si>
    <t>Parametro</t>
  </si>
  <si>
    <t>Valor</t>
  </si>
  <si>
    <t>IVA</t>
  </si>
  <si>
    <t>Anio</t>
  </si>
  <si>
    <t>Costo_Unit_Supuesto</t>
  </si>
  <si>
    <t>&lt;- IVA Chile 19%</t>
  </si>
  <si>
    <t>COSTO 250 = SUPUESTO NO VALIDADO (margen ~84% inverosimil). Actualizar con costo real.</t>
  </si>
  <si>
    <t>Responsables</t>
  </si>
  <si>
    <t>Jose Ignacio</t>
  </si>
  <si>
    <t>Ana Barra</t>
  </si>
  <si>
    <t>Segmentos</t>
  </si>
  <si>
    <t>Retail Moderno</t>
  </si>
  <si>
    <t>Canal Especializado</t>
  </si>
  <si>
    <t>Canal Conveniencia</t>
  </si>
  <si>
    <t>Canal Turistico</t>
  </si>
  <si>
    <t>HoReCa</t>
  </si>
  <si>
    <t>Condicion</t>
  </si>
  <si>
    <t>Contado</t>
  </si>
  <si>
    <t>Credito</t>
  </si>
  <si>
    <t>Formato</t>
  </si>
  <si>
    <t>Unitaria</t>
  </si>
  <si>
    <t>Estuche x4</t>
  </si>
  <si>
    <t>Ambos</t>
  </si>
  <si>
    <t>FuentesSellOut</t>
  </si>
  <si>
    <t>Portal Cencosud</t>
  </si>
  <si>
    <t>Reporte Cliente</t>
  </si>
  <si>
    <t>Estimado Reposicion</t>
  </si>
  <si>
    <t>Conteo Visita</t>
  </si>
  <si>
    <t>EstadosCliente</t>
  </si>
  <si>
    <t>No evaluado</t>
  </si>
  <si>
    <t>Preseleccionado</t>
  </si>
  <si>
    <t>Contactado</t>
  </si>
  <si>
    <t>Reunion pendiente</t>
  </si>
  <si>
    <t>Presentado</t>
  </si>
  <si>
    <t>Negociacion</t>
  </si>
  <si>
    <t>Aprobado piloto</t>
  </si>
  <si>
    <t>Pedido inicial</t>
  </si>
  <si>
    <t>Despachado</t>
  </si>
  <si>
    <t>En seguimiento</t>
  </si>
  <si>
    <t>Reorden</t>
  </si>
  <si>
    <t>Descartado</t>
  </si>
  <si>
    <t>Pausado por stock</t>
  </si>
  <si>
    <t>Pausado por foco</t>
  </si>
  <si>
    <t>Nuevo fuera de plan</t>
  </si>
  <si>
    <t>EstadosPedido</t>
  </si>
  <si>
    <t>OC Recibida</t>
  </si>
  <si>
    <t>Facturado</t>
  </si>
  <si>
    <t>Pagado</t>
  </si>
  <si>
    <t>Cerrado</t>
  </si>
  <si>
    <t>TiposPOP</t>
  </si>
  <si>
    <t>Exhibidor piso</t>
  </si>
  <si>
    <t>Stopper gondola</t>
  </si>
  <si>
    <t>Cenefa</t>
  </si>
  <si>
    <t>Cartel precio</t>
  </si>
  <si>
    <t>Promotora</t>
  </si>
  <si>
    <t>Degustacion</t>
  </si>
  <si>
    <t>Senaletica</t>
  </si>
  <si>
    <t>EstadosFactura</t>
  </si>
  <si>
    <t>Borrador</t>
  </si>
  <si>
    <t>Emitida</t>
  </si>
  <si>
    <t>Pagada</t>
  </si>
  <si>
    <t>Vencida</t>
  </si>
  <si>
    <t>Anulada</t>
  </si>
  <si>
    <t>Frecuencias</t>
  </si>
  <si>
    <t>Semanal</t>
  </si>
  <si>
    <t>Quincenal</t>
  </si>
  <si>
    <t>Mensual</t>
  </si>
  <si>
    <t>EstadosPDV</t>
  </si>
  <si>
    <t>Activo</t>
  </si>
  <si>
    <t>Prospecto</t>
  </si>
  <si>
    <t>Stand-by</t>
  </si>
  <si>
    <t>Perdido</t>
  </si>
  <si>
    <t>ID_Cliente</t>
  </si>
  <si>
    <t>Cadena</t>
  </si>
  <si>
    <t>Segmento</t>
  </si>
  <si>
    <t>SubCanal</t>
  </si>
  <si>
    <t>Plazo_Pago</t>
  </si>
  <si>
    <t>%Desc_Acordado</t>
  </si>
  <si>
    <t>Contacto</t>
  </si>
  <si>
    <t>Resp</t>
  </si>
  <si>
    <t>Estado</t>
  </si>
  <si>
    <t>Fecha_Ult_Contacto</t>
  </si>
  <si>
    <t>Proxima_Accion</t>
  </si>
  <si>
    <t>Fecha_Proxima</t>
  </si>
  <si>
    <t>Fuente</t>
  </si>
  <si>
    <t>Notas</t>
  </si>
  <si>
    <t>CL-CEN</t>
  </si>
  <si>
    <t>Cencosud</t>
  </si>
  <si>
    <t>Jumbo</t>
  </si>
  <si>
    <t>Buyer Cencosud</t>
  </si>
  <si>
    <t>Confirmar reunion Jumbo</t>
  </si>
  <si>
    <t>Reunion</t>
  </si>
  <si>
    <t>Reunion pendiente confirmacion definitiva</t>
  </si>
  <si>
    <t>CL-DEL</t>
  </si>
  <si>
    <t>Dellanatura</t>
  </si>
  <si>
    <t>Tienda saludable</t>
  </si>
  <si>
    <t>Encargado Dellanatura</t>
  </si>
  <si>
    <t>Reponer</t>
  </si>
  <si>
    <t>Ruta</t>
  </si>
  <si>
    <t>CL-ALN</t>
  </si>
  <si>
    <t>All Nutrition</t>
  </si>
  <si>
    <t>Encargado All Nutrition</t>
  </si>
  <si>
    <t>Seguimiento sell-out</t>
  </si>
  <si>
    <t>CL-CORG</t>
  </si>
  <si>
    <t>Central Organica</t>
  </si>
  <si>
    <t>Encargado Central Organica</t>
  </si>
  <si>
    <t>Primera venta</t>
  </si>
  <si>
    <t>CL-FORK</t>
  </si>
  <si>
    <t>Fork</t>
  </si>
  <si>
    <t>Conveniencia</t>
  </si>
  <si>
    <t>Encargado Fork</t>
  </si>
  <si>
    <t>Definir surtido</t>
  </si>
  <si>
    <t>CL-PIR</t>
  </si>
  <si>
    <t>Pirque CDV</t>
  </si>
  <si>
    <t>Turistico</t>
  </si>
  <si>
    <t>Encargado Pirque</t>
  </si>
  <si>
    <t>Reponer estuches</t>
  </si>
  <si>
    <t>CL-RITZ</t>
  </si>
  <si>
    <t>Ritz-Carlton</t>
  </si>
  <si>
    <t>Hotel</t>
  </si>
  <si>
    <t>Compras Ritz</t>
  </si>
  <si>
    <t>Seguimiento</t>
  </si>
  <si>
    <t>Contado - mejor flujo de caja</t>
  </si>
  <si>
    <t>ID_PDV</t>
  </si>
  <si>
    <t>Nombre_PDV</t>
  </si>
  <si>
    <t>Comuna</t>
  </si>
  <si>
    <t>Region</t>
  </si>
  <si>
    <t>Formato_Recom</t>
  </si>
  <si>
    <t>Frecuencia_Visita</t>
  </si>
  <si>
    <t>Fecha_Entrada</t>
  </si>
  <si>
    <t>Meta_Ago</t>
  </si>
  <si>
    <t>Meta_Sep</t>
  </si>
  <si>
    <t>Meta_Oct</t>
  </si>
  <si>
    <t>J001</t>
  </si>
  <si>
    <t>Jumbo Parque Arauco</t>
  </si>
  <si>
    <t>Las Condes</t>
  </si>
  <si>
    <t>RM</t>
  </si>
  <si>
    <t>J002</t>
  </si>
  <si>
    <t>Jumbo Alto Las Condes</t>
  </si>
  <si>
    <t>J003</t>
  </si>
  <si>
    <t>Jumbo Kennedy</t>
  </si>
  <si>
    <t>J004</t>
  </si>
  <si>
    <t>Jumbo Bilbao</t>
  </si>
  <si>
    <t>Providencia</t>
  </si>
  <si>
    <t>J005</t>
  </si>
  <si>
    <t>Jumbo Los Dominicos</t>
  </si>
  <si>
    <t>J006</t>
  </si>
  <si>
    <t>Jumbo Portal La Reina</t>
  </si>
  <si>
    <t>La Reina</t>
  </si>
  <si>
    <t>J007</t>
  </si>
  <si>
    <t>Jumbo La Florida</t>
  </si>
  <si>
    <t>La Florida</t>
  </si>
  <si>
    <t>J008</t>
  </si>
  <si>
    <t>Jumbo Maipu</t>
  </si>
  <si>
    <t>Maipu</t>
  </si>
  <si>
    <t>J009</t>
  </si>
  <si>
    <t>Jumbo Vespucio</t>
  </si>
  <si>
    <t>Penalolen</t>
  </si>
  <si>
    <t>J010</t>
  </si>
  <si>
    <t>Jumbo Costanera Center</t>
  </si>
  <si>
    <t>J011</t>
  </si>
  <si>
    <t>Jumbo Nunoa</t>
  </si>
  <si>
    <t>Nunoa</t>
  </si>
  <si>
    <t>J012</t>
  </si>
  <si>
    <t>Jumbo Estoril</t>
  </si>
  <si>
    <t>J013</t>
  </si>
  <si>
    <t>Jumbo Puente Alto</t>
  </si>
  <si>
    <t>Puente Alto</t>
  </si>
  <si>
    <t>J014</t>
  </si>
  <si>
    <t>Jumbo San Bernardo</t>
  </si>
  <si>
    <t>San Bernardo</t>
  </si>
  <si>
    <t>J015</t>
  </si>
  <si>
    <t>Jumbo Providencia</t>
  </si>
  <si>
    <t>D001</t>
  </si>
  <si>
    <t>Dellanatura Las Condes</t>
  </si>
  <si>
    <t>D002</t>
  </si>
  <si>
    <t>Dellanatura Providencia</t>
  </si>
  <si>
    <t>AN01</t>
  </si>
  <si>
    <t>All Nutrition Vitacura</t>
  </si>
  <si>
    <t>Vitacura</t>
  </si>
  <si>
    <t>CO01</t>
  </si>
  <si>
    <t>F001</t>
  </si>
  <si>
    <t>Fork Costanera</t>
  </si>
  <si>
    <t>F002</t>
  </si>
  <si>
    <t>Fork Las Condes</t>
  </si>
  <si>
    <t>P001</t>
  </si>
  <si>
    <t>Pirque Centro del Vino</t>
  </si>
  <si>
    <t>Pirque</t>
  </si>
  <si>
    <t>H001</t>
  </si>
  <si>
    <t>Ritz-Carlton Santiago</t>
  </si>
  <si>
    <t>SKU</t>
  </si>
  <si>
    <t>Descripcion</t>
  </si>
  <si>
    <t>Sabor</t>
  </si>
  <si>
    <t>PVP_cIVA</t>
  </si>
  <si>
    <t>PVP_Neto</t>
  </si>
  <si>
    <t>Costo_Unit</t>
  </si>
  <si>
    <t>Vigente_Desde</t>
  </si>
  <si>
    <t>Vigente_Hasta</t>
  </si>
  <si>
    <t>SKU-CAC-U</t>
  </si>
  <si>
    <t>Cacao</t>
  </si>
  <si>
    <t>Si</t>
  </si>
  <si>
    <t>SKU-MAN-U</t>
  </si>
  <si>
    <t>Mani</t>
  </si>
  <si>
    <t>SKU-FRU-U</t>
  </si>
  <si>
    <t>Frutal</t>
  </si>
  <si>
    <t>SKU-CAC-4</t>
  </si>
  <si>
    <t>SKU-MAN-4</t>
  </si>
  <si>
    <t>SKU-FRU-4</t>
  </si>
  <si>
    <t>Nota: habra 3er precio futuro (estuche ~6490) y descuentos 20-30%. Versionar con Vigente_Desde/Hasta.</t>
  </si>
  <si>
    <t>Calce_Consumidor</t>
  </si>
  <si>
    <t>Potencial_Rotacion</t>
  </si>
  <si>
    <t>Facilidad_Op</t>
  </si>
  <si>
    <t>Aprendizaje</t>
  </si>
  <si>
    <t>Riesgo_Stock</t>
  </si>
  <si>
    <t>Cercania</t>
  </si>
  <si>
    <t>Condiciones</t>
  </si>
  <si>
    <t>Score_Total</t>
  </si>
  <si>
    <t>Prioridad</t>
  </si>
  <si>
    <t>ID_Visita</t>
  </si>
  <si>
    <t>Fecha</t>
  </si>
  <si>
    <t>Motivo</t>
  </si>
  <si>
    <t>Objetivo</t>
  </si>
  <si>
    <t>Estado_Visita</t>
  </si>
  <si>
    <t>V001</t>
  </si>
  <si>
    <t>Reposicion</t>
  </si>
  <si>
    <t>Reponer y medir rotacion</t>
  </si>
  <si>
    <t>Planificada</t>
  </si>
  <si>
    <t>Conteo fisico</t>
  </si>
  <si>
    <t>V002</t>
  </si>
  <si>
    <t>Validar exhibicion</t>
  </si>
  <si>
    <t>Pedido reorden</t>
  </si>
  <si>
    <t>V003</t>
  </si>
  <si>
    <t>Retail</t>
  </si>
  <si>
    <t>Revisar gondola y sell-out</t>
  </si>
  <si>
    <t>Realizada</t>
  </si>
  <si>
    <t>Levantar OC</t>
  </si>
  <si>
    <t>Formato_Presente</t>
  </si>
  <si>
    <t>Stock_Entregado_Prev</t>
  </si>
  <si>
    <t>Stock_Observado</t>
  </si>
  <si>
    <t>Venta_Estimada</t>
  </si>
  <si>
    <t>Precio_Obs</t>
  </si>
  <si>
    <t>Ubicacion</t>
  </si>
  <si>
    <t>Calidad_Exhib</t>
  </si>
  <si>
    <t>Competidores</t>
  </si>
  <si>
    <t>Comentarios</t>
  </si>
  <si>
    <t>Necesita_Repos</t>
  </si>
  <si>
    <t>Cant_Sugerida</t>
  </si>
  <si>
    <t>Problema</t>
  </si>
  <si>
    <t>Foto_Link</t>
  </si>
  <si>
    <t>Gondola bio</t>
  </si>
  <si>
    <t>Buena</t>
  </si>
  <si>
    <t>Barra X, Barra Y</t>
  </si>
  <si>
    <t>Buena rotacion</t>
  </si>
  <si>
    <t>Ninguno</t>
  </si>
  <si>
    <t>Reponer 8</t>
  </si>
  <si>
    <t>Checkout</t>
  </si>
  <si>
    <t>Regular</t>
  </si>
  <si>
    <t>Competencia Z</t>
  </si>
  <si>
    <t>Revisar facing</t>
  </si>
  <si>
    <t>No</t>
  </si>
  <si>
    <t>Baja rotacion</t>
  </si>
  <si>
    <t>Push exhibicion</t>
  </si>
  <si>
    <t>STOCK POR CANAL / SKU</t>
  </si>
  <si>
    <t>Stock_Total</t>
  </si>
  <si>
    <t>Asignado_Jumbo</t>
  </si>
  <si>
    <t>Asignado_Ruta</t>
  </si>
  <si>
    <t>Stock_Seguridad</t>
  </si>
  <si>
    <t>Comprometido</t>
  </si>
  <si>
    <t>Disponible</t>
  </si>
  <si>
    <t>Punto_Repos</t>
  </si>
  <si>
    <t>Alerta</t>
  </si>
  <si>
    <t>INVENTARIO POR PDV</t>
  </si>
  <si>
    <t>Stock_Inicial</t>
  </si>
  <si>
    <t>Vendido_Acum</t>
  </si>
  <si>
    <t>Stock_Disp</t>
  </si>
  <si>
    <t>Vel_Venta_sem</t>
  </si>
  <si>
    <t>Semanas_Rest</t>
  </si>
  <si>
    <t>ID_Pedido</t>
  </si>
  <si>
    <t>Fecha_OC</t>
  </si>
  <si>
    <t>N_OC</t>
  </si>
  <si>
    <t>Monto_OC</t>
  </si>
  <si>
    <t>Fecha_Despacho</t>
  </si>
  <si>
    <t>N_Guia</t>
  </si>
  <si>
    <t>Fecha_Factura</t>
  </si>
  <si>
    <t>N_Factura</t>
  </si>
  <si>
    <t>Fecha_Pago_Real</t>
  </si>
  <si>
    <t>Dias_Ciclo</t>
  </si>
  <si>
    <t>PED001</t>
  </si>
  <si>
    <t>OC-88231</t>
  </si>
  <si>
    <t>G-1201</t>
  </si>
  <si>
    <t>F-5501</t>
  </si>
  <si>
    <t>B2B Cencosud</t>
  </si>
  <si>
    <t>PED002</t>
  </si>
  <si>
    <t>OC-RC-19</t>
  </si>
  <si>
    <t>G-1202</t>
  </si>
  <si>
    <t>F-5502</t>
  </si>
  <si>
    <t>PED003</t>
  </si>
  <si>
    <t>OC-DL-03</t>
  </si>
  <si>
    <t>G-1150</t>
  </si>
  <si>
    <t>F-5490</t>
  </si>
  <si>
    <t>ID_Venta</t>
  </si>
  <si>
    <t>Uds</t>
  </si>
  <si>
    <t>Precio_Unit_Neto</t>
  </si>
  <si>
    <t>%Desc</t>
  </si>
  <si>
    <t>Venta_Neta</t>
  </si>
  <si>
    <t>Costo_Total</t>
  </si>
  <si>
    <t>Margen</t>
  </si>
  <si>
    <t>Estado_Factura</t>
  </si>
  <si>
    <t>Plazo_Dias</t>
  </si>
  <si>
    <t>Fecha_Venc</t>
  </si>
  <si>
    <t>Fecha_Pago</t>
  </si>
  <si>
    <t>Sabor por confirmar</t>
  </si>
  <si>
    <t>F-5491</t>
  </si>
  <si>
    <t>F-5492</t>
  </si>
  <si>
    <t>F-5493</t>
  </si>
  <si>
    <t>Fecha corregida (era 46179)</t>
  </si>
  <si>
    <t>TOTAL</t>
  </si>
  <si>
    <t>Canal</t>
  </si>
  <si>
    <t>Margen_Frontal</t>
  </si>
  <si>
    <t>Rappel</t>
  </si>
  <si>
    <t>Merma</t>
  </si>
  <si>
    <t>Costo_Logistica</t>
  </si>
  <si>
    <t>Neto_Canal</t>
  </si>
  <si>
    <t>Costo</t>
  </si>
  <si>
    <t>Margen_Bruto</t>
  </si>
  <si>
    <t>Tema</t>
  </si>
  <si>
    <t>Decision</t>
  </si>
  <si>
    <t>Responsable</t>
  </si>
  <si>
    <t>Dependencia</t>
  </si>
  <si>
    <t>Comentario</t>
  </si>
  <si>
    <t>Definir si opera full, parcial o solo apoyo</t>
  </si>
  <si>
    <t>Abierta</t>
  </si>
  <si>
    <t>Reunion equipo</t>
  </si>
  <si>
    <t>Afecta facturacion/SAP</t>
  </si>
  <si>
    <t>Costo unitario real</t>
  </si>
  <si>
    <t>Reemplazar supuesto 250 por costo real</t>
  </si>
  <si>
    <t>Contabilidad</t>
  </si>
  <si>
    <t>Margen actual no real</t>
  </si>
  <si>
    <t>Stock por canal</t>
  </si>
  <si>
    <t>Definir volumen total y asignacion Jumbo/ruta/seguridad</t>
  </si>
  <si>
    <t>Produccion</t>
  </si>
  <si>
    <t>Clientes piloto</t>
  </si>
  <si>
    <t>Confirmar lista definitiva y clientes fuera</t>
  </si>
  <si>
    <t>Equipo</t>
  </si>
  <si>
    <t>No abrir de mas</t>
  </si>
  <si>
    <t>Reunion Jumbo</t>
  </si>
  <si>
    <t>Confirmar reunion definitiva</t>
  </si>
  <si>
    <t>Retail principal</t>
  </si>
  <si>
    <t>Herramienta futura</t>
  </si>
  <si>
    <t>Evaluar Excel/Forms/Planner/Power BI/Solida</t>
  </si>
  <si>
    <t>Partir simple</t>
  </si>
  <si>
    <t>CATALOGO POP</t>
  </si>
  <si>
    <t>Codigo</t>
  </si>
  <si>
    <t>Tipo</t>
  </si>
  <si>
    <t>Costo_Ref</t>
  </si>
  <si>
    <t>Duracion</t>
  </si>
  <si>
    <t>POP-EXH</t>
  </si>
  <si>
    <t>Estructura display 60x40cm</t>
  </si>
  <si>
    <t>Permanente</t>
  </si>
  <si>
    <t>POP-STO</t>
  </si>
  <si>
    <t>Senaletica lateral</t>
  </si>
  <si>
    <t>6 meses</t>
  </si>
  <si>
    <t>POP-CEN</t>
  </si>
  <si>
    <t>Franja frontal gondola</t>
  </si>
  <si>
    <t>3 meses</t>
  </si>
  <si>
    <t>POP-CAR</t>
  </si>
  <si>
    <t>Tarjeta precio destacado</t>
  </si>
  <si>
    <t>POP-PRO</t>
  </si>
  <si>
    <t>Promotora (dia)</t>
  </si>
  <si>
    <t>Activacion promotora</t>
  </si>
  <si>
    <t>1 dia</t>
  </si>
  <si>
    <t>POP-DEG</t>
  </si>
  <si>
    <t>Kit muestras + insumos</t>
  </si>
  <si>
    <t>POP-SEN</t>
  </si>
  <si>
    <t>Senaletica vitrina</t>
  </si>
  <si>
    <t>Vinilo adhesivo</t>
  </si>
  <si>
    <t>12 meses</t>
  </si>
  <si>
    <t>REGISTRO DE ACTIVACIONES</t>
  </si>
  <si>
    <t>Codigo_POP</t>
  </si>
  <si>
    <t>Resultado</t>
  </si>
  <si>
    <t>DASHBOARD EJECUTIVO SEMANAL - NUVA OXI</t>
  </si>
  <si>
    <t>KPI</t>
  </si>
  <si>
    <t>Sell-in total (uds)</t>
  </si>
  <si>
    <t>Venta neta total ($)</t>
  </si>
  <si>
    <t>Margen total ($)</t>
  </si>
  <si>
    <t>PDV activos</t>
  </si>
  <si>
    <t>PDV totales</t>
  </si>
  <si>
    <t>Visitas registradas</t>
  </si>
  <si>
    <t>Decisiones abiertas</t>
  </si>
  <si>
    <t>CxC AGING (facturas Emitidas)</t>
  </si>
  <si>
    <t>Tramo</t>
  </si>
  <si>
    <t>Monto</t>
  </si>
  <si>
    <t>Accion</t>
  </si>
  <si>
    <t>0-15 dias</t>
  </si>
  <si>
    <t>Monitorear</t>
  </si>
  <si>
    <t>16-30 dias</t>
  </si>
  <si>
    <t>Confirmar buyer</t>
  </si>
  <si>
    <t>31-60 dias</t>
  </si>
  <si>
    <t>Contactar buyer</t>
  </si>
  <si>
    <t>+60 dias</t>
  </si>
  <si>
    <t>Escalar KAM</t>
  </si>
  <si>
    <t>Nota: Dashboard con formulas SUMIFS/COUNTIF. El analisis cruzado (sell-in vs sell-out, forecast) vive en CONSOLIDADO (8 reporteria).</t>
  </si>
  <si>
    <t>Ultima actualizacion: 2026-07-06 15:50</t>
  </si>
  <si>
    <t>Barra Cacao 35g</t>
  </si>
  <si>
    <t>Barra Mani 35g</t>
  </si>
  <si>
    <t>Barra Frutal 35g</t>
  </si>
  <si>
    <t>Estuche Cacao 4x35g</t>
  </si>
  <si>
    <t>Estuche Mani 4x35g</t>
  </si>
  <si>
    <t>Estuche Frutal 4x35g</t>
  </si>
  <si>
    <t>Precio premium (clientes que pagan mas): unitaria 2190 / estuche 6490. Aplicar por cliente/canal.</t>
  </si>
  <si>
    <t>Modelo integracion VCT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</si>
</sst>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.##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4" fillId="2" borderId="0" xfId="0" applyNumberFormat="1" applyFont="1" applyFill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9">
    <dxf>
      <numFmt numFmtId="164" formatCode="dd\/mm\/yyyy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numFmt numFmtId="164" formatCode="dd\/mm\/yyyy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numFmt numFmtId="165" formatCode="#.##0"/>
    </dxf>
    <dxf>
      <numFmt numFmtId="165" formatCode="#.##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7692FD-49E6-4210-9B12-6FE1196DEF3E}" name="tblPOP" displayName="tblPOP" ref="A2:E9" totalsRowShown="0" headerRowDxfId="28">
  <autoFilter ref="A2:E9" xr:uid="{1D7692FD-49E6-4210-9B12-6FE1196DEF3E}"/>
  <tableColumns count="5">
    <tableColumn id="1" xr3:uid="{EA305D2E-3A75-4F5C-81DB-D0CC46955A6B}" name="Codigo"/>
    <tableColumn id="2" xr3:uid="{1346EA32-3FA3-402D-AC4E-85DF166AB480}" name="Tipo"/>
    <tableColumn id="3" xr3:uid="{9040327D-DB56-4828-A548-9869E0225061}" name="Descripcion"/>
    <tableColumn id="4" xr3:uid="{1E4F0761-19CF-4D62-B580-7042E750D0F9}" name="Costo_Ref"/>
    <tableColumn id="5" xr3:uid="{F75F24F8-FA19-42ED-AB1E-3570CC9624AD}" name="Dur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C0782F-70A1-4BEF-87AD-C04BC3DF03B3}" name="tblActivaciones" displayName="tblActivaciones" ref="A12:F18" totalsRowShown="0" headerRowDxfId="27">
  <autoFilter ref="A12:F18" xr:uid="{D7C0782F-70A1-4BEF-87AD-C04BC3DF03B3}"/>
  <tableColumns count="6">
    <tableColumn id="1" xr3:uid="{E2FA7297-9387-4B40-9828-96E971775EDF}" name="Fecha"/>
    <tableColumn id="2" xr3:uid="{DB565BD3-69FD-44AA-8D79-7CDE738EDB74}" name="ID_PDV"/>
    <tableColumn id="3" xr3:uid="{19C56CE0-22B8-4F84-AFB0-B45591F9880B}" name="Codigo_POP"/>
    <tableColumn id="4" xr3:uid="{B751B768-7B48-4154-810A-C9B888E8A67F}" name="Costo"/>
    <tableColumn id="5" xr3:uid="{93071EC3-5947-4BCD-9BF5-71969F8396F6}" name="Resp"/>
    <tableColumn id="6" xr3:uid="{56969689-0FC9-4FB2-9CA0-CAA3F354A379}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F04203-980F-4B67-BB36-4BB4AA8B90A4}" name="tblDecisiones" displayName="tblDecisiones" ref="A1:G7" totalsRowShown="0" headerRowDxfId="26">
  <autoFilter ref="A1:G7" xr:uid="{71F04203-980F-4B67-BB36-4BB4AA8B90A4}"/>
  <tableColumns count="7">
    <tableColumn id="1" xr3:uid="{5C830DC2-1F09-414F-BDEC-2682A611D101}" name="Fecha" dataDxfId="25"/>
    <tableColumn id="2" xr3:uid="{37517EFC-A768-4CD4-AAB3-5E694CE40DDA}" name="Tema"/>
    <tableColumn id="3" xr3:uid="{31E30816-92DA-4985-823B-C1F9926322A8}" name="Decision"/>
    <tableColumn id="4" xr3:uid="{B9712806-DB7C-426A-9EFA-3093176FD034}" name="Responsable"/>
    <tableColumn id="5" xr3:uid="{C957A504-E69A-4474-BEC6-B731898237F0}" name="Estado"/>
    <tableColumn id="6" xr3:uid="{919F0E1C-1BE8-462B-8186-E3AD40E706AD}" name="Dependencia"/>
    <tableColumn id="7" xr3:uid="{F6AFB599-B9EA-4223-A283-847E4BD262E4}" name="Comen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7D7869-115E-47A1-AD46-B4FE57391F4F}" name="tblCondiciones" displayName="tblCondiciones" ref="A1:J4" totalsRowShown="0" headerRowDxfId="24">
  <autoFilter ref="A1:J4" xr:uid="{017D7869-115E-47A1-AD46-B4FE57391F4F}"/>
  <tableColumns count="10">
    <tableColumn id="1" xr3:uid="{A6E931A2-548E-487B-8FB0-A480BA4F0C47}" name="Canal"/>
    <tableColumn id="2" xr3:uid="{9CE1E242-9A2A-49AF-AAD7-D3423E452FD2}" name="PVP_cIVA"/>
    <tableColumn id="3" xr3:uid="{8A593BC3-F440-40A9-AAE9-5B50BDF9FA6B}" name="%Desc"/>
    <tableColumn id="4" xr3:uid="{C55E48CC-B618-49ED-B443-C29AEAB180F9}" name="Margen_Frontal"/>
    <tableColumn id="5" xr3:uid="{B7601BEF-5184-4911-8999-91B837C77861}" name="Rappel"/>
    <tableColumn id="6" xr3:uid="{60BE2643-991D-4905-84A3-1E211F1837AD}" name="Merma"/>
    <tableColumn id="7" xr3:uid="{42C5FE0F-3EE6-431F-ABA2-7FD45A377AED}" name="Costo_Logistica"/>
    <tableColumn id="8" xr3:uid="{649F9AA5-8994-423E-A05D-45CD0803A84F}" name="Neto_Canal">
      <calculatedColumnFormula>B2/(1+IVA)*(1-C2)</calculatedColumnFormula>
    </tableColumn>
    <tableColumn id="9" xr3:uid="{0765BD82-0D0C-4EAC-B3E5-7D1E8651EA10}" name="Costo">
      <calculatedColumnFormula>B2*0.17</calculatedColumnFormula>
    </tableColumn>
    <tableColumn id="10" xr3:uid="{820E4E9D-5580-407A-A090-0AFC7C839AAF}" name="Margen_Bruto">
      <calculatedColumnFormula>H2-I2-G2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42F577-D356-4BA7-A923-A06C5B81243E}" name="tblSellIn" displayName="tblSellIn" ref="A1:S7" totalsRowShown="0" headerRowDxfId="23">
  <autoFilter ref="A1:S7" xr:uid="{F342F577-D356-4BA7-A923-A06C5B81243E}"/>
  <tableColumns count="19">
    <tableColumn id="1" xr3:uid="{390C4B17-4579-497D-9AF6-8BC0441AA357}" name="ID_Venta"/>
    <tableColumn id="2" xr3:uid="{055B2713-FB72-4683-86AE-2846D4AD2868}" name="Fecha" dataDxfId="22"/>
    <tableColumn id="3" xr3:uid="{AD0C802F-F872-44C9-B3BD-81BFE5C4CFC5}" name="ID_Cliente"/>
    <tableColumn id="4" xr3:uid="{F07D2F31-2D50-4000-BEB1-F23E12679DD2}" name="ID_PDV"/>
    <tableColumn id="5" xr3:uid="{9994CD14-8A0E-4DA1-BC1B-67580B2BC772}" name="SKU"/>
    <tableColumn id="6" xr3:uid="{61BB444D-1FFF-4976-AA55-D960219A7966}" name="N_OC"/>
    <tableColumn id="7" xr3:uid="{BA810158-8927-461C-9F5E-7E06E99632A4}" name="N_Factura"/>
    <tableColumn id="8" xr3:uid="{5F3B6CC9-B7C4-4375-9200-2B35D9F9526B}" name="Uds"/>
    <tableColumn id="9" xr3:uid="{419A249A-681C-4BFD-93EA-342A6E4CCD32}" name="Precio_Unit_Neto" dataDxfId="21"/>
    <tableColumn id="10" xr3:uid="{F70CEB0A-4C10-4901-AD0C-497781A3351F}" name="%Desc"/>
    <tableColumn id="11" xr3:uid="{55B6F02B-E8CC-4820-8F1F-3616C61D8219}" name="Venta_Neta" dataDxfId="20">
      <calculatedColumnFormula>ROUND(H2*I2*(1-J2),0)</calculatedColumnFormula>
    </tableColumn>
    <tableColumn id="12" xr3:uid="{E42622DD-3261-4A92-A630-97AD2C7DD702}" name="Costo_Total"/>
    <tableColumn id="13" xr3:uid="{CC1B8314-F81B-4A70-BA36-B811A14270E6}" name="Margen">
      <calculatedColumnFormula>K2-L2</calculatedColumnFormula>
    </tableColumn>
    <tableColumn id="14" xr3:uid="{F9C80FEE-C724-44FD-85AE-0574B70060ED}" name="Estado_Factura"/>
    <tableColumn id="15" xr3:uid="{61194893-A5F1-4F98-AF3A-2E44D021EC34}" name="Plazo_Dias"/>
    <tableColumn id="16" xr3:uid="{C14B49ED-2FE3-47E7-ABBD-A39F1A639901}" name="Fecha_Venc" dataDxfId="19">
      <calculatedColumnFormula>B2+O2</calculatedColumnFormula>
    </tableColumn>
    <tableColumn id="17" xr3:uid="{1F69FF28-66C3-467F-BB66-90F1155CDFB2}" name="Fecha_Pago"/>
    <tableColumn id="18" xr3:uid="{B6B2EF10-64AE-49D0-ACB8-1E784BD2CAE0}" name="Resp"/>
    <tableColumn id="19" xr3:uid="{942E6248-7CD4-4600-96F9-1A1A6418A559}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63771F-A628-4BAA-B5EC-A2B76CC9153D}" name="tblPedidos" displayName="tblPedidos" ref="A1:M4" totalsRowShown="0" headerRowDxfId="18">
  <autoFilter ref="A1:M4" xr:uid="{AC63771F-A628-4BAA-B5EC-A2B76CC9153D}"/>
  <tableColumns count="13">
    <tableColumn id="1" xr3:uid="{D6C55F6A-AB15-4241-BE2E-69EA0F2007C3}" name="ID_Pedido"/>
    <tableColumn id="2" xr3:uid="{D4992380-BD45-43D4-932F-99FF43BFA75B}" name="ID_Cliente"/>
    <tableColumn id="3" xr3:uid="{BDC99F6A-4404-4396-8AED-0896E95A9896}" name="Fecha_OC" dataDxfId="17"/>
    <tableColumn id="4" xr3:uid="{49799C09-05DB-43EA-9DA8-7FB92996A135}" name="N_OC"/>
    <tableColumn id="5" xr3:uid="{A3545527-8A35-407D-A235-AC000E0869E7}" name="Monto_OC"/>
    <tableColumn id="6" xr3:uid="{3DED93DA-E4CA-4033-94FE-7EDF7DBAF791}" name="Fecha_Despacho" dataDxfId="16"/>
    <tableColumn id="7" xr3:uid="{0DABEECF-BF6C-4638-A9E5-23BA6A1496F0}" name="N_Guia"/>
    <tableColumn id="8" xr3:uid="{10575548-9D4C-4930-A009-A1B3F9E02D36}" name="Fecha_Factura" dataDxfId="15"/>
    <tableColumn id="9" xr3:uid="{3DDF4E46-E3E8-481E-9B9D-F2753894813C}" name="N_Factura"/>
    <tableColumn id="10" xr3:uid="{F81ABBB4-4DE2-4CA6-9B41-16D0345BA669}" name="Estado"/>
    <tableColumn id="11" xr3:uid="{56081CCC-6B64-4B64-8C0A-60FE2425B91F}" name="Fecha_Pago_Real"/>
    <tableColumn id="12" xr3:uid="{4FDBBD3C-8044-4845-898C-2D5DB038F0A2}" name="Dias_Ciclo">
      <calculatedColumnFormula>IF(K2="",TODAY()-C2,K2-C2)</calculatedColumnFormula>
    </tableColumn>
    <tableColumn id="13" xr3:uid="{26676C7A-6B19-4D07-9388-07D37BC38871}" name="Not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21A362-FFF0-4C90-8B37-CDB881810372}" name="tblStock" displayName="tblStock" ref="A2:I8" totalsRowShown="0" headerRowDxfId="14">
  <autoFilter ref="A2:I8" xr:uid="{8821A362-FFF0-4C90-8B37-CDB881810372}"/>
  <tableColumns count="9">
    <tableColumn id="1" xr3:uid="{DB194AF3-12D9-43DA-91A6-0415B02AB7B3}" name="SKU"/>
    <tableColumn id="2" xr3:uid="{AA3E75E4-4A8E-488E-A541-F0A7ABA405D3}" name="Stock_Total"/>
    <tableColumn id="3" xr3:uid="{D3C3A27B-391E-43FA-88BA-88A7DE207EDE}" name="Asignado_Jumbo"/>
    <tableColumn id="4" xr3:uid="{79C885FF-6503-40A1-B5C3-21677831F90E}" name="Asignado_Ruta"/>
    <tableColumn id="5" xr3:uid="{D4BAE5DD-2824-4407-99FC-5359D3F51FAB}" name="Stock_Seguridad"/>
    <tableColumn id="6" xr3:uid="{CDE56445-F444-4ED4-AA71-C0AE1CDF2F0B}" name="Comprometido"/>
    <tableColumn id="7" xr3:uid="{715C45E2-A086-449C-B2A2-1DCF675040FC}" name="Disponible">
      <calculatedColumnFormula>B3-C3-D3-E3-F3</calculatedColumnFormula>
    </tableColumn>
    <tableColumn id="8" xr3:uid="{F3BDE905-4BF5-4035-8813-25812631BF9C}" name="Punto_Repos"/>
    <tableColumn id="9" xr3:uid="{01460F1E-15F1-439D-A883-C85BE832E4B0}" name="Alerta">
      <calculatedColumnFormula>IF(G3&lt;=0,"QUIEBRE",IF(G3&lt;=H3,"BAJO","OK"))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F53D63-5D64-4895-AFAD-2AFCBFCB32A3}" name="tblInventarioPDV" displayName="tblInventarioPDV" ref="A11:H14" totalsRowShown="0" headerRowDxfId="13">
  <autoFilter ref="A11:H14" xr:uid="{01F53D63-5D64-4895-AFAD-2AFCBFCB32A3}"/>
  <tableColumns count="8">
    <tableColumn id="1" xr3:uid="{4726D094-B51E-45ED-8526-5081AC901D3F}" name="ID_PDV"/>
    <tableColumn id="2" xr3:uid="{CE1960BA-4CFC-4149-B3DD-984F1E376D7A}" name="SKU"/>
    <tableColumn id="3" xr3:uid="{F136FF9D-8B9C-4636-9473-4CF91DDD2D06}" name="Stock_Inicial"/>
    <tableColumn id="4" xr3:uid="{7C07DDDF-A79F-4B4E-BBF5-389A2ADE2C49}" name="Vendido_Acum"/>
    <tableColumn id="5" xr3:uid="{74731107-2B94-4F6E-B1C2-09F6DFC39442}" name="Stock_Disp">
      <calculatedColumnFormula>C12-D12</calculatedColumnFormula>
    </tableColumn>
    <tableColumn id="6" xr3:uid="{0BD7C747-F458-4BDA-B46A-9F5CA4BB3A15}" name="Vel_Venta_sem"/>
    <tableColumn id="7" xr3:uid="{17E994A4-7D6D-4725-A520-351C407484D7}" name="Semanas_Rest">
      <calculatedColumnFormula>IFERROR(E12/F12,0)</calculatedColumnFormula>
    </tableColumn>
    <tableColumn id="8" xr3:uid="{16D89131-408F-46D0-97FD-8787C9C13DD8}" name="Alerta">
      <calculatedColumnFormula>IF(G12&lt;2,"REPONER","OK")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B589DC-5099-4177-BFF7-B97D742105BE}" name="tblRegistroPDV" displayName="tblRegistroPDV" ref="A1:Q3" totalsRowShown="0" headerRowDxfId="12">
  <autoFilter ref="A1:Q3" xr:uid="{7BB589DC-5099-4177-BFF7-B97D742105BE}"/>
  <tableColumns count="17">
    <tableColumn id="1" xr3:uid="{E6B19030-5E27-42E4-B38C-3AE902CE7629}" name="Fecha" dataDxfId="11"/>
    <tableColumn id="2" xr3:uid="{3177DAE2-582D-4B00-ABCF-15A29F62BD63}" name="ID_PDV"/>
    <tableColumn id="3" xr3:uid="{48601E5D-0623-4024-B6FA-53B295B190BC}" name="Resp"/>
    <tableColumn id="4" xr3:uid="{805A8688-60A6-4513-B494-0755D844A3A1}" name="Formato_Presente"/>
    <tableColumn id="5" xr3:uid="{7E29C427-50B9-4202-9F54-95C5896BFB10}" name="Stock_Entregado_Prev"/>
    <tableColumn id="6" xr3:uid="{04C942D8-1A64-45FC-8E37-938D7781E572}" name="Stock_Observado"/>
    <tableColumn id="7" xr3:uid="{004A07F1-36A8-403D-947E-5C7322E4E147}" name="Venta_Estimada">
      <calculatedColumnFormula>E2-F2</calculatedColumnFormula>
    </tableColumn>
    <tableColumn id="8" xr3:uid="{10126729-5A0E-4F01-924E-BDFCB37E6120}" name="Precio_Obs"/>
    <tableColumn id="9" xr3:uid="{F0C0DB1F-4636-486C-A0A9-73FFFF61E624}" name="Ubicacion"/>
    <tableColumn id="10" xr3:uid="{B4713E09-26BA-4359-853C-BABF832B5381}" name="Calidad_Exhib"/>
    <tableColumn id="11" xr3:uid="{17E50881-18F4-40CB-823C-1C3FB2D1F987}" name="Competidores"/>
    <tableColumn id="12" xr3:uid="{7F8FEBF5-D21A-4A00-BE3E-CD2189A34648}" name="Comentarios"/>
    <tableColumn id="13" xr3:uid="{662045E7-6E80-48EF-ABCF-D560DA11AE65}" name="Necesita_Repos"/>
    <tableColumn id="14" xr3:uid="{FA1EAAEB-C24D-4C6D-A1BC-10CB5DE15A0B}" name="Cant_Sugerida"/>
    <tableColumn id="15" xr3:uid="{FC394477-E999-441B-AA2E-7D463607D27E}" name="Problema"/>
    <tableColumn id="16" xr3:uid="{8A57DFE3-6278-43A3-9321-48420D6D16D7}" name="Foto_Link"/>
    <tableColumn id="17" xr3:uid="{1515B9BC-8EF7-4F5F-AD55-BDA6AFD44ABF}" name="Proxima_Ac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E9119E-3188-41FF-B217-F8792392E995}" name="tblVisitas" displayName="tblVisitas" ref="A1:J4" totalsRowShown="0" headerRowDxfId="10">
  <autoFilter ref="A1:J4" xr:uid="{43E9119E-3188-41FF-B217-F8792392E995}"/>
  <tableColumns count="10">
    <tableColumn id="1" xr3:uid="{120BBCD0-7031-476C-A6AB-2A8D379A1A55}" name="ID_Visita"/>
    <tableColumn id="2" xr3:uid="{2A00455D-C9B7-42D0-83AC-5AFCAD98CDEF}" name="Fecha" dataDxfId="9"/>
    <tableColumn id="3" xr3:uid="{9446481E-6671-4079-9D7A-22E07FD62E37}" name="Resp"/>
    <tableColumn id="4" xr3:uid="{1DEA332C-DEAA-42F1-8127-3A8BD4B71B52}" name="ID_Cliente"/>
    <tableColumn id="5" xr3:uid="{2150469E-29AD-4B42-939F-F9FD4F5C3477}" name="ID_PDV"/>
    <tableColumn id="6" xr3:uid="{A760E3E4-AFB0-40AA-A954-F904BB629D68}" name="Motivo"/>
    <tableColumn id="7" xr3:uid="{36C946D5-B007-4B92-BB54-97C729C47071}" name="Objetivo"/>
    <tableColumn id="8" xr3:uid="{C51F5BAF-684A-43FD-B227-702276CB9D39}" name="Estado_Visita"/>
    <tableColumn id="9" xr3:uid="{3FA0A002-4BCE-4D9F-829A-E38B7C48BEEB}" name="Proxima_Accion"/>
    <tableColumn id="10" xr3:uid="{2DA6BE20-7FE3-4F95-A430-43DB4C385F04}" name="Fecha_Proxima" dataDxfId="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A38AE-0657-4B1A-BD55-AC4FF41E206C}" name="tblPrioriz" displayName="tblPrioriz" ref="A1:J7" totalsRowShown="0" headerRowDxfId="7">
  <autoFilter ref="A1:J7" xr:uid="{26CA38AE-0657-4B1A-BD55-AC4FF41E206C}"/>
  <tableColumns count="10">
    <tableColumn id="1" xr3:uid="{9B76CD19-DB02-49C2-96D4-7D6AF43C5C23}" name="ID_PDV"/>
    <tableColumn id="2" xr3:uid="{AA062F1B-8919-433D-86E9-97E83E1C17D0}" name="Calce_Consumidor"/>
    <tableColumn id="3" xr3:uid="{D0DF09E2-16B2-4ECD-87CC-DC15584F41B9}" name="Potencial_Rotacion"/>
    <tableColumn id="4" xr3:uid="{CC2C4FC0-A6BC-4316-BBD5-24ACE080B068}" name="Facilidad_Op"/>
    <tableColumn id="5" xr3:uid="{D56D27A0-3612-4FEE-B23D-F3C89A0FE005}" name="Aprendizaje"/>
    <tableColumn id="6" xr3:uid="{FF095FBC-37BA-4BBB-AF8E-DF47CCEA6D33}" name="Riesgo_Stock"/>
    <tableColumn id="7" xr3:uid="{E9389BE4-79D7-4C6C-8C96-D17D77744604}" name="Cercania"/>
    <tableColumn id="8" xr3:uid="{95E44DCF-4E9C-4FF3-81FE-34917CBA0067}" name="Condiciones"/>
    <tableColumn id="9" xr3:uid="{56C67ED1-BA13-4BD4-99EE-D0949697F690}" name="Score_Total">
      <calculatedColumnFormula>SUM(B2)+G2+H2+F2</calculatedColumnFormula>
    </tableColumn>
    <tableColumn id="10" xr3:uid="{AEE974FD-17A7-443F-86CC-9579C191864B}" name="Prioridad">
      <calculatedColumnFormula>IF(I2&gt;=18,"Alta",IF(I2&gt;=12,"Media","Baja"))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1109BE-A7EB-4EF0-917F-E02ED0E815DC}" name="tblSKUs" displayName="tblSKUs" ref="A1:J7" totalsRowShown="0" headerRowDxfId="6">
  <autoFilter ref="A1:J7" xr:uid="{881109BE-A7EB-4EF0-917F-E02ED0E815DC}"/>
  <tableColumns count="10">
    <tableColumn id="1" xr3:uid="{6BFFCECE-1890-4E95-AEC4-BDBFCDA64077}" name="SKU"/>
    <tableColumn id="2" xr3:uid="{A7C20923-76FD-4892-A10B-B6803175690D}" name="Descripcion"/>
    <tableColumn id="3" xr3:uid="{D4B05EB0-7679-4CBB-B7B6-2147A1263751}" name="Sabor"/>
    <tableColumn id="4" xr3:uid="{79A15C81-303A-4E7D-9B67-374CC7DF1967}" name="Formato"/>
    <tableColumn id="5" xr3:uid="{E2FE0703-71BF-4336-893F-D13D2432E71A}" name="PVP_cIVA"/>
    <tableColumn id="6" xr3:uid="{AF3AAE03-1C32-4E81-9BE3-7D09DF9DF3B3}" name="PVP_Neto">
      <calculatedColumnFormula>E2/(1+IVA)</calculatedColumnFormula>
    </tableColumn>
    <tableColumn id="7" xr3:uid="{EFA976AF-CFD0-4DAE-900C-FE2EDD0D636F}" name="Costo_Unit"/>
    <tableColumn id="8" xr3:uid="{7F8A4117-D204-4A65-A186-187D81BEF039}" name="Vigente_Desde" dataDxfId="5"/>
    <tableColumn id="9" xr3:uid="{E0517566-FAF5-4866-B6FC-98DFE979861A}" name="Vigente_Hasta"/>
    <tableColumn id="10" xr3:uid="{5A6EAFB2-7FCB-4827-B8AA-F09E733E8BC4}" name="Activ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4D1DC-88CD-4BED-B4B2-339797554A62}" name="tblPDV" displayName="tblPDV" ref="A1:M24" totalsRowShown="0" headerRowDxfId="4">
  <autoFilter ref="A1:M24" xr:uid="{61A4D1DC-88CD-4BED-B4B2-339797554A62}"/>
  <tableColumns count="13">
    <tableColumn id="1" xr3:uid="{C08B551B-87CC-4720-BFAC-FA271E9976B7}" name="ID_PDV"/>
    <tableColumn id="2" xr3:uid="{D60204BF-E49D-428B-B941-4DAF051837DA}" name="ID_Cliente"/>
    <tableColumn id="3" xr3:uid="{4D076327-2D19-4A9A-8C02-E892AC492502}" name="Nombre_PDV"/>
    <tableColumn id="4" xr3:uid="{F292326F-D7A0-4A55-A1D1-5AE4A6DEB8C6}" name="Comuna"/>
    <tableColumn id="5" xr3:uid="{2BBB66EE-A467-4F62-9851-A01BF769E25E}" name="Region"/>
    <tableColumn id="6" xr3:uid="{27E02910-84E1-42F5-9641-F444C6C8E55F}" name="Resp"/>
    <tableColumn id="7" xr3:uid="{CEDFB0CE-3EA5-45BE-A0B8-9A162DCEDCD0}" name="Estado"/>
    <tableColumn id="8" xr3:uid="{93636FD8-63CB-4F9A-8AA5-EB2CC33F6D29}" name="Formato_Recom"/>
    <tableColumn id="9" xr3:uid="{6910C63E-FBB6-4F0B-814B-0122AED2AF8C}" name="Frecuencia_Visita"/>
    <tableColumn id="10" xr3:uid="{7266072B-CC86-4273-8FBB-A03C71690733}" name="Fecha_Entrada" dataDxfId="3"/>
    <tableColumn id="11" xr3:uid="{85108DEC-B546-4506-8EB6-F79F615BE833}" name="Meta_Ago"/>
    <tableColumn id="12" xr3:uid="{E55660B3-755C-4107-91BC-BC2097BA8B0C}" name="Meta_Sep"/>
    <tableColumn id="13" xr3:uid="{6FF8F65F-8A6A-4BBF-AA0C-4CFBBB344641}" name="Meta_Oc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E9785-210D-4CA7-AB32-DBE919E0F661}" name="tblClientes" displayName="tblClientes" ref="A1:O8" totalsRowShown="0" headerRowDxfId="2">
  <autoFilter ref="A1:O8" xr:uid="{9EAE9785-210D-4CA7-AB32-DBE919E0F661}"/>
  <tableColumns count="15">
    <tableColumn id="1" xr3:uid="{DDB6E6EE-0952-4FDA-97F1-3B1653FCD570}" name="ID_Cliente"/>
    <tableColumn id="2" xr3:uid="{55E5B234-7E7C-44ED-B941-AFF209A7F1AF}" name="Cadena"/>
    <tableColumn id="3" xr3:uid="{82A749B0-6260-4CA1-BA70-406618156ABA}" name="Segmento"/>
    <tableColumn id="4" xr3:uid="{32CEA47D-4F1C-4ED2-B7FB-E012761411C7}" name="SubCanal"/>
    <tableColumn id="5" xr3:uid="{ED07E3E2-4500-4EBA-AF41-FFADA2170C17}" name="Plazo_Pago"/>
    <tableColumn id="6" xr3:uid="{2F0E5335-90F8-40BB-A97C-F6E271191E7E}" name="Condicion"/>
    <tableColumn id="7" xr3:uid="{7A9F2A25-C978-411C-8F96-ADB20817C930}" name="%Desc_Acordado"/>
    <tableColumn id="8" xr3:uid="{00096243-B705-4924-BA83-76AD1621679C}" name="Contacto"/>
    <tableColumn id="9" xr3:uid="{46F3896D-A636-4BB4-BBBD-A6EB5FE893D3}" name="Resp"/>
    <tableColumn id="10" xr3:uid="{2B53EA97-1897-436B-B715-6B7BA91EF779}" name="Estado"/>
    <tableColumn id="11" xr3:uid="{3D99CE76-4072-4C89-A8EF-D79F1A233218}" name="Fecha_Ult_Contacto" dataDxfId="1"/>
    <tableColumn id="12" xr3:uid="{43C5FF22-6BFD-4463-8FFA-B46A6AA7FC2F}" name="Proxima_Accion"/>
    <tableColumn id="13" xr3:uid="{CBD59683-19D2-45C6-8835-EAFC90AA5C56}" name="Fecha_Proxima" dataDxfId="0"/>
    <tableColumn id="14" xr3:uid="{4EED399A-D31F-45C3-B425-5DF17D79CB98}" name="Fuente"/>
    <tableColumn id="15" xr3:uid="{9F7433C6-C1A8-4574-9648-1AA4545F7FD4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85BF-8852-4521-89C1-FBA1FC939D96}">
  <dimension ref="A1:C22"/>
  <sheetViews>
    <sheetView workbookViewId="0"/>
  </sheetViews>
  <sheetFormatPr baseColWidth="10" defaultRowHeight="14.5" x14ac:dyDescent="0.35"/>
  <cols>
    <col min="1" max="1" width="110.81640625" bestFit="1" customWidth="1"/>
    <col min="2" max="2" width="8.36328125" bestFit="1" customWidth="1"/>
    <col min="3" max="3" width="13.81640625" bestFit="1" customWidth="1"/>
  </cols>
  <sheetData>
    <row r="1" spans="1:3" ht="21" x14ac:dyDescent="0.5">
      <c r="A1" s="10" t="s">
        <v>381</v>
      </c>
    </row>
    <row r="3" spans="1:3" x14ac:dyDescent="0.35">
      <c r="A3" s="4" t="s">
        <v>382</v>
      </c>
      <c r="B3" s="4" t="s">
        <v>2</v>
      </c>
    </row>
    <row r="4" spans="1:3" x14ac:dyDescent="0.35">
      <c r="A4" t="s">
        <v>383</v>
      </c>
      <c r="B4" s="8">
        <f>SUM('09_Sell_In'!H2:H7)</f>
        <v>92</v>
      </c>
    </row>
    <row r="5" spans="1:3" x14ac:dyDescent="0.35">
      <c r="A5" t="s">
        <v>384</v>
      </c>
      <c r="B5" s="8">
        <f>SUM('09_Sell_In'!K2:K7)</f>
        <v>358656</v>
      </c>
    </row>
    <row r="6" spans="1:3" x14ac:dyDescent="0.35">
      <c r="A6" t="s">
        <v>385</v>
      </c>
      <c r="B6" s="8">
        <f>SUM('09_Sell_In'!M2:M7)</f>
        <v>288406</v>
      </c>
    </row>
    <row r="7" spans="1:3" x14ac:dyDescent="0.35">
      <c r="A7" t="s">
        <v>386</v>
      </c>
      <c r="B7" s="8">
        <f>COUNTIF('02_Maestro_PDV'!G:G,"Activo")</f>
        <v>22</v>
      </c>
    </row>
    <row r="8" spans="1:3" x14ac:dyDescent="0.35">
      <c r="A8" t="s">
        <v>387</v>
      </c>
      <c r="B8" s="8">
        <f>COUNTA('02_Maestro_PDV'!A2:A100)</f>
        <v>23</v>
      </c>
    </row>
    <row r="9" spans="1:3" x14ac:dyDescent="0.35">
      <c r="A9" t="s">
        <v>388</v>
      </c>
      <c r="B9" s="8">
        <f>COUNTA('05_Plan_Visitas'!A2:A500)</f>
        <v>3</v>
      </c>
    </row>
    <row r="10" spans="1:3" x14ac:dyDescent="0.35">
      <c r="A10" t="s">
        <v>389</v>
      </c>
      <c r="B10" s="8">
        <f>COUNTIF('11_Tareas_Decisiones'!E:E,"Abierta")</f>
        <v>6</v>
      </c>
    </row>
    <row r="13" spans="1:3" x14ac:dyDescent="0.35">
      <c r="A13" s="1" t="s">
        <v>390</v>
      </c>
    </row>
    <row r="14" spans="1:3" x14ac:dyDescent="0.35">
      <c r="A14" s="1" t="s">
        <v>391</v>
      </c>
      <c r="B14" s="1" t="s">
        <v>392</v>
      </c>
      <c r="C14" s="1" t="s">
        <v>393</v>
      </c>
    </row>
    <row r="15" spans="1:3" x14ac:dyDescent="0.35">
      <c r="A15" t="s">
        <v>394</v>
      </c>
      <c r="B15" s="8">
        <f ca="1">SUMIFS('09_Sell_In'!K2:K7,'09_Sell_In'!N2:N7,"Emitida",'09_Sell_In'!P2:P7,"&gt;"&amp;(TODAY()-15))</f>
        <v>0</v>
      </c>
      <c r="C15" t="s">
        <v>395</v>
      </c>
    </row>
    <row r="16" spans="1:3" x14ac:dyDescent="0.35">
      <c r="A16" t="s">
        <v>396</v>
      </c>
      <c r="B16" s="8">
        <f>SUMIFS('09_Sell_In'!K2:K7,'09_Sell_In'!N2:N7,"Emitida")*0</f>
        <v>0</v>
      </c>
      <c r="C16" t="s">
        <v>397</v>
      </c>
    </row>
    <row r="17" spans="1:3" x14ac:dyDescent="0.35">
      <c r="A17" t="s">
        <v>398</v>
      </c>
      <c r="B17" s="8">
        <v>0</v>
      </c>
      <c r="C17" t="s">
        <v>399</v>
      </c>
    </row>
    <row r="18" spans="1:3" x14ac:dyDescent="0.35">
      <c r="A18" t="s">
        <v>400</v>
      </c>
      <c r="B18" s="8">
        <v>0</v>
      </c>
      <c r="C18" t="s">
        <v>401</v>
      </c>
    </row>
    <row r="20" spans="1:3" x14ac:dyDescent="0.35">
      <c r="A20" s="11" t="s">
        <v>402</v>
      </c>
    </row>
    <row r="22" spans="1:3" x14ac:dyDescent="0.35">
      <c r="A22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9EA6-15D4-4B75-9AD4-9A6BF113AA07}">
  <dimension ref="A1:F18"/>
  <sheetViews>
    <sheetView workbookViewId="0"/>
  </sheetViews>
  <sheetFormatPr baseColWidth="10" defaultRowHeight="14.5" x14ac:dyDescent="0.35"/>
  <cols>
    <col min="1" max="1" width="24.90625" bestFit="1" customWidth="1"/>
    <col min="2" max="2" width="14.7265625" bestFit="1" customWidth="1"/>
    <col min="3" max="3" width="23.1796875" bestFit="1" customWidth="1"/>
    <col min="4" max="4" width="13.81640625" bestFit="1" customWidth="1"/>
    <col min="5" max="5" width="13" bestFit="1" customWidth="1"/>
    <col min="6" max="6" width="11.26953125" customWidth="1"/>
  </cols>
  <sheetData>
    <row r="1" spans="1:6" x14ac:dyDescent="0.35">
      <c r="A1" s="1" t="s">
        <v>352</v>
      </c>
    </row>
    <row r="2" spans="1:6" x14ac:dyDescent="0.35">
      <c r="A2" s="5" t="s">
        <v>353</v>
      </c>
      <c r="B2" s="5" t="s">
        <v>354</v>
      </c>
      <c r="C2" s="5" t="s">
        <v>192</v>
      </c>
      <c r="D2" s="5" t="s">
        <v>355</v>
      </c>
      <c r="E2" s="5" t="s">
        <v>356</v>
      </c>
    </row>
    <row r="3" spans="1:6" x14ac:dyDescent="0.35">
      <c r="A3" t="s">
        <v>357</v>
      </c>
      <c r="B3" t="s">
        <v>51</v>
      </c>
      <c r="C3" t="s">
        <v>358</v>
      </c>
      <c r="D3">
        <v>85000</v>
      </c>
      <c r="E3" t="s">
        <v>359</v>
      </c>
    </row>
    <row r="4" spans="1:6" x14ac:dyDescent="0.35">
      <c r="A4" t="s">
        <v>360</v>
      </c>
      <c r="B4" t="s">
        <v>52</v>
      </c>
      <c r="C4" t="s">
        <v>361</v>
      </c>
      <c r="D4">
        <v>8500</v>
      </c>
      <c r="E4" t="s">
        <v>362</v>
      </c>
    </row>
    <row r="5" spans="1:6" x14ac:dyDescent="0.35">
      <c r="A5" t="s">
        <v>363</v>
      </c>
      <c r="B5" t="s">
        <v>53</v>
      </c>
      <c r="C5" t="s">
        <v>364</v>
      </c>
      <c r="D5">
        <v>4500</v>
      </c>
      <c r="E5" t="s">
        <v>365</v>
      </c>
    </row>
    <row r="6" spans="1:6" x14ac:dyDescent="0.35">
      <c r="A6" t="s">
        <v>366</v>
      </c>
      <c r="B6" t="s">
        <v>54</v>
      </c>
      <c r="C6" t="s">
        <v>367</v>
      </c>
      <c r="D6">
        <v>1200</v>
      </c>
      <c r="E6" t="s">
        <v>365</v>
      </c>
    </row>
    <row r="7" spans="1:6" x14ac:dyDescent="0.35">
      <c r="A7" t="s">
        <v>368</v>
      </c>
      <c r="B7" t="s">
        <v>369</v>
      </c>
      <c r="C7" t="s">
        <v>370</v>
      </c>
      <c r="D7">
        <v>35000</v>
      </c>
      <c r="E7" t="s">
        <v>371</v>
      </c>
    </row>
    <row r="8" spans="1:6" x14ac:dyDescent="0.35">
      <c r="A8" t="s">
        <v>372</v>
      </c>
      <c r="B8" t="s">
        <v>56</v>
      </c>
      <c r="C8" t="s">
        <v>373</v>
      </c>
      <c r="D8">
        <v>25000</v>
      </c>
      <c r="E8" t="s">
        <v>371</v>
      </c>
    </row>
    <row r="9" spans="1:6" x14ac:dyDescent="0.35">
      <c r="A9" t="s">
        <v>374</v>
      </c>
      <c r="B9" t="s">
        <v>375</v>
      </c>
      <c r="C9" t="s">
        <v>376</v>
      </c>
      <c r="D9">
        <v>12000</v>
      </c>
      <c r="E9" t="s">
        <v>377</v>
      </c>
    </row>
    <row r="11" spans="1:6" x14ac:dyDescent="0.35">
      <c r="A11" s="1" t="s">
        <v>378</v>
      </c>
    </row>
    <row r="12" spans="1:6" x14ac:dyDescent="0.35">
      <c r="A12" s="5" t="s">
        <v>220</v>
      </c>
      <c r="B12" s="5" t="s">
        <v>124</v>
      </c>
      <c r="C12" s="5" t="s">
        <v>379</v>
      </c>
      <c r="D12" s="5" t="s">
        <v>324</v>
      </c>
      <c r="E12" s="5" t="s">
        <v>80</v>
      </c>
      <c r="F12" s="5" t="s">
        <v>380</v>
      </c>
    </row>
    <row r="13" spans="1:6" x14ac:dyDescent="0.35">
      <c r="A13" s="6">
        <v>46239</v>
      </c>
    </row>
    <row r="14" spans="1:6" x14ac:dyDescent="0.35">
      <c r="A14">
        <v>74</v>
      </c>
      <c r="B14">
        <v>48</v>
      </c>
      <c r="C14">
        <v>48</v>
      </c>
      <c r="D14">
        <v>49</v>
      </c>
    </row>
    <row r="15" spans="1:6" x14ac:dyDescent="0.35">
      <c r="A15">
        <v>80</v>
      </c>
      <c r="B15">
        <v>79</v>
      </c>
      <c r="C15">
        <v>80</v>
      </c>
      <c r="D15">
        <v>45</v>
      </c>
      <c r="E15">
        <v>68</v>
      </c>
      <c r="F15">
        <v>69</v>
      </c>
    </row>
    <row r="16" spans="1:6" x14ac:dyDescent="0.35">
      <c r="A16">
        <v>25000</v>
      </c>
    </row>
    <row r="17" spans="1:6" x14ac:dyDescent="0.35">
      <c r="A17">
        <v>74</v>
      </c>
      <c r="B17">
        <v>111</v>
      </c>
      <c r="C17">
        <v>115</v>
      </c>
      <c r="D17">
        <v>101</v>
      </c>
      <c r="E17">
        <v>32</v>
      </c>
      <c r="F17">
        <v>73</v>
      </c>
    </row>
    <row r="18" spans="1:6" x14ac:dyDescent="0.35">
      <c r="A18">
        <v>66</v>
      </c>
      <c r="B18">
        <v>117</v>
      </c>
      <c r="C18">
        <v>101</v>
      </c>
      <c r="D18">
        <v>110</v>
      </c>
      <c r="E18">
        <v>97</v>
      </c>
      <c r="F18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81DF-2B30-4317-9F4B-3BB1A38F8F0B}">
  <dimension ref="A1:G7"/>
  <sheetViews>
    <sheetView workbookViewId="0"/>
  </sheetViews>
  <sheetFormatPr baseColWidth="10" defaultRowHeight="14.5" x14ac:dyDescent="0.35"/>
  <cols>
    <col min="1" max="1" width="10.08984375" bestFit="1" customWidth="1"/>
    <col min="2" max="2" width="16.26953125" bestFit="1" customWidth="1"/>
    <col min="3" max="3" width="46.26953125" bestFit="1" customWidth="1"/>
    <col min="4" max="4" width="13.6328125" customWidth="1"/>
    <col min="5" max="5" width="8.453125" customWidth="1"/>
    <col min="6" max="6" width="14" customWidth="1"/>
    <col min="7" max="7" width="19.6328125" bestFit="1" customWidth="1"/>
  </cols>
  <sheetData>
    <row r="1" spans="1:7" x14ac:dyDescent="0.35">
      <c r="A1" s="5" t="s">
        <v>220</v>
      </c>
      <c r="B1" s="5" t="s">
        <v>326</v>
      </c>
      <c r="C1" s="5" t="s">
        <v>327</v>
      </c>
      <c r="D1" s="5" t="s">
        <v>328</v>
      </c>
      <c r="E1" s="5" t="s">
        <v>81</v>
      </c>
      <c r="F1" s="5" t="s">
        <v>329</v>
      </c>
      <c r="G1" s="5" t="s">
        <v>330</v>
      </c>
    </row>
    <row r="2" spans="1:7" x14ac:dyDescent="0.35">
      <c r="A2" s="6">
        <v>46209</v>
      </c>
      <c r="B2" t="s">
        <v>411</v>
      </c>
      <c r="C2" t="s">
        <v>331</v>
      </c>
      <c r="D2" t="s">
        <v>9</v>
      </c>
      <c r="E2" t="s">
        <v>332</v>
      </c>
      <c r="F2" t="s">
        <v>333</v>
      </c>
      <c r="G2" t="s">
        <v>334</v>
      </c>
    </row>
    <row r="3" spans="1:7" x14ac:dyDescent="0.35">
      <c r="A3" s="6">
        <v>46209</v>
      </c>
      <c r="B3" t="s">
        <v>335</v>
      </c>
      <c r="C3" t="s">
        <v>336</v>
      </c>
      <c r="D3" t="s">
        <v>9</v>
      </c>
      <c r="E3" t="s">
        <v>332</v>
      </c>
      <c r="F3" t="s">
        <v>337</v>
      </c>
      <c r="G3" t="s">
        <v>338</v>
      </c>
    </row>
    <row r="4" spans="1:7" x14ac:dyDescent="0.35">
      <c r="A4" s="6">
        <v>46209</v>
      </c>
      <c r="B4" t="s">
        <v>339</v>
      </c>
      <c r="C4" t="s">
        <v>340</v>
      </c>
      <c r="D4" t="s">
        <v>9</v>
      </c>
      <c r="E4" t="s">
        <v>332</v>
      </c>
      <c r="F4" t="s">
        <v>341</v>
      </c>
    </row>
    <row r="5" spans="1:7" x14ac:dyDescent="0.35">
      <c r="A5" s="6">
        <v>46209</v>
      </c>
      <c r="B5" t="s">
        <v>342</v>
      </c>
      <c r="C5" t="s">
        <v>343</v>
      </c>
      <c r="D5" t="s">
        <v>344</v>
      </c>
      <c r="E5" t="s">
        <v>332</v>
      </c>
      <c r="G5" t="s">
        <v>345</v>
      </c>
    </row>
    <row r="6" spans="1:7" x14ac:dyDescent="0.35">
      <c r="A6" s="6">
        <v>46209</v>
      </c>
      <c r="B6" t="s">
        <v>346</v>
      </c>
      <c r="C6" t="s">
        <v>347</v>
      </c>
      <c r="D6" t="s">
        <v>9</v>
      </c>
      <c r="E6" t="s">
        <v>332</v>
      </c>
      <c r="F6" t="s">
        <v>88</v>
      </c>
      <c r="G6" t="s">
        <v>348</v>
      </c>
    </row>
    <row r="7" spans="1:7" x14ac:dyDescent="0.35">
      <c r="A7" s="6">
        <v>46209</v>
      </c>
      <c r="B7" t="s">
        <v>349</v>
      </c>
      <c r="C7" t="s">
        <v>350</v>
      </c>
      <c r="D7" t="s">
        <v>9</v>
      </c>
      <c r="E7" t="s">
        <v>332</v>
      </c>
      <c r="G7" t="s">
        <v>351</v>
      </c>
    </row>
  </sheetData>
  <dataValidations count="1">
    <dataValidation type="list" allowBlank="1" showInputMessage="1" showErrorMessage="1" sqref="D2:D500" xr:uid="{995B79E1-F3E8-4A4D-8D6F-67380E342395}">
      <formula1>Responsables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2E16-8614-4D7B-81A8-7E40E4F9EC75}">
  <dimension ref="A1:J4"/>
  <sheetViews>
    <sheetView workbookViewId="0"/>
  </sheetViews>
  <sheetFormatPr baseColWidth="10" defaultRowHeight="14.5" x14ac:dyDescent="0.35"/>
  <cols>
    <col min="1" max="1" width="17.08984375" bestFit="1" customWidth="1"/>
    <col min="2" max="2" width="10.6328125" customWidth="1"/>
    <col min="3" max="3" width="8.54296875" customWidth="1"/>
    <col min="4" max="4" width="15.6328125" customWidth="1"/>
    <col min="5" max="5" width="8.7265625" customWidth="1"/>
    <col min="6" max="6" width="8.54296875" customWidth="1"/>
    <col min="7" max="7" width="15.90625" customWidth="1"/>
    <col min="8" max="8" width="12.453125" customWidth="1"/>
    <col min="9" max="9" width="7.6328125" customWidth="1"/>
    <col min="10" max="10" width="14.1796875" customWidth="1"/>
  </cols>
  <sheetData>
    <row r="1" spans="1:10" x14ac:dyDescent="0.35">
      <c r="A1" s="5" t="s">
        <v>318</v>
      </c>
      <c r="B1" s="5" t="s">
        <v>194</v>
      </c>
      <c r="C1" s="5" t="s">
        <v>304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</row>
    <row r="2" spans="1:10" x14ac:dyDescent="0.35">
      <c r="A2" t="s">
        <v>12</v>
      </c>
      <c r="B2">
        <v>5900</v>
      </c>
      <c r="C2">
        <v>0</v>
      </c>
      <c r="D2">
        <v>0.3</v>
      </c>
      <c r="E2">
        <v>0.05</v>
      </c>
      <c r="F2">
        <v>0.02</v>
      </c>
      <c r="G2">
        <v>300</v>
      </c>
      <c r="H2">
        <f>B2/(1+IVA)*(1-C2)</f>
        <v>4957.9831932773113</v>
      </c>
      <c r="I2">
        <f>B2*0.17</f>
        <v>1003.0000000000001</v>
      </c>
      <c r="J2">
        <f>H2-I2-G2</f>
        <v>3654.9831932773113</v>
      </c>
    </row>
    <row r="3" spans="1:10" x14ac:dyDescent="0.35">
      <c r="A3" t="s">
        <v>13</v>
      </c>
      <c r="B3">
        <v>1900</v>
      </c>
      <c r="C3">
        <v>0</v>
      </c>
      <c r="D3">
        <v>0.35</v>
      </c>
      <c r="E3">
        <v>0</v>
      </c>
      <c r="F3">
        <v>0.02</v>
      </c>
      <c r="G3">
        <v>150</v>
      </c>
      <c r="H3">
        <f>B3/(1+IVA)*(1-C3)</f>
        <v>1596.6386554621849</v>
      </c>
      <c r="I3">
        <f>B3*0.13</f>
        <v>247</v>
      </c>
      <c r="J3">
        <f>H3-I3-G3</f>
        <v>1199.6386554621849</v>
      </c>
    </row>
    <row r="4" spans="1:10" x14ac:dyDescent="0.35">
      <c r="A4" t="s">
        <v>16</v>
      </c>
      <c r="B4">
        <v>5900</v>
      </c>
      <c r="C4">
        <v>0</v>
      </c>
      <c r="D4">
        <v>0.4</v>
      </c>
      <c r="E4">
        <v>0</v>
      </c>
      <c r="F4">
        <v>0</v>
      </c>
      <c r="G4">
        <v>200</v>
      </c>
      <c r="H4">
        <f>B4/(1+IVA)*(1-C4)</f>
        <v>4957.9831932773113</v>
      </c>
      <c r="I4">
        <f>B4*0.17</f>
        <v>1003.0000000000001</v>
      </c>
      <c r="J4">
        <f>H4-I4-G4</f>
        <v>3754.9831932773113</v>
      </c>
    </row>
  </sheetData>
  <dataValidations count="1">
    <dataValidation type="list" allowBlank="1" showInputMessage="1" showErrorMessage="1" sqref="A2:A100" xr:uid="{0D6B88AD-F7D6-4133-B61F-BB579744C80A}">
      <formula1>Segmentos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4C5D-437F-455C-89A4-B4D479DE3160}">
  <dimension ref="A1:S8"/>
  <sheetViews>
    <sheetView workbookViewId="0"/>
  </sheetViews>
  <sheetFormatPr baseColWidth="10" defaultRowHeight="14.5" x14ac:dyDescent="0.35"/>
  <cols>
    <col min="1" max="1" width="10.26953125" customWidth="1"/>
    <col min="2" max="2" width="10.08984375" bestFit="1" customWidth="1"/>
    <col min="3" max="3" width="11.54296875" customWidth="1"/>
    <col min="4" max="4" width="8.90625" customWidth="1"/>
    <col min="5" max="5" width="10.453125" bestFit="1" customWidth="1"/>
    <col min="6" max="6" width="9.08984375" bestFit="1" customWidth="1"/>
    <col min="7" max="7" width="11.26953125" customWidth="1"/>
    <col min="8" max="8" width="6.08984375" customWidth="1"/>
    <col min="9" max="9" width="17.1796875" style="8" customWidth="1"/>
    <col min="10" max="10" width="8.54296875" customWidth="1"/>
    <col min="11" max="11" width="12.36328125" style="8" customWidth="1"/>
    <col min="12" max="12" width="12.54296875" customWidth="1"/>
    <col min="13" max="13" width="8.90625" customWidth="1"/>
    <col min="14" max="14" width="15.6328125" customWidth="1"/>
    <col min="15" max="15" width="11.81640625" customWidth="1"/>
    <col min="16" max="16" width="12.90625" customWidth="1"/>
    <col min="17" max="17" width="12.7265625" customWidth="1"/>
    <col min="18" max="18" width="10.54296875" bestFit="1" customWidth="1"/>
    <col min="19" max="19" width="23.6328125" bestFit="1" customWidth="1"/>
  </cols>
  <sheetData>
    <row r="1" spans="1:19" x14ac:dyDescent="0.35">
      <c r="A1" s="5" t="s">
        <v>301</v>
      </c>
      <c r="B1" s="5" t="s">
        <v>220</v>
      </c>
      <c r="C1" s="5" t="s">
        <v>73</v>
      </c>
      <c r="D1" s="5" t="s">
        <v>124</v>
      </c>
      <c r="E1" s="5" t="s">
        <v>191</v>
      </c>
      <c r="F1" s="5" t="s">
        <v>280</v>
      </c>
      <c r="G1" s="5" t="s">
        <v>285</v>
      </c>
      <c r="H1" s="5" t="s">
        <v>302</v>
      </c>
      <c r="I1" s="7" t="s">
        <v>303</v>
      </c>
      <c r="J1" s="5" t="s">
        <v>304</v>
      </c>
      <c r="K1" s="7" t="s">
        <v>305</v>
      </c>
      <c r="L1" s="5" t="s">
        <v>306</v>
      </c>
      <c r="M1" s="5" t="s">
        <v>307</v>
      </c>
      <c r="N1" s="5" t="s">
        <v>308</v>
      </c>
      <c r="O1" s="5" t="s">
        <v>309</v>
      </c>
      <c r="P1" s="5" t="s">
        <v>310</v>
      </c>
      <c r="Q1" s="5" t="s">
        <v>311</v>
      </c>
      <c r="R1" s="5" t="s">
        <v>80</v>
      </c>
      <c r="S1" s="5" t="s">
        <v>86</v>
      </c>
    </row>
    <row r="2" spans="1:19" x14ac:dyDescent="0.35">
      <c r="A2">
        <v>1</v>
      </c>
      <c r="B2" s="6">
        <v>46027</v>
      </c>
      <c r="C2" t="s">
        <v>94</v>
      </c>
      <c r="D2" t="s">
        <v>174</v>
      </c>
      <c r="E2" t="s">
        <v>199</v>
      </c>
      <c r="G2" t="s">
        <v>300</v>
      </c>
      <c r="H2">
        <v>12</v>
      </c>
      <c r="I2" s="8">
        <v>1596.6386554621849</v>
      </c>
      <c r="J2">
        <v>0</v>
      </c>
      <c r="K2" s="8">
        <f t="shared" ref="K2:K7" si="0">ROUND(H2*I2*(1-J2),0)</f>
        <v>19160</v>
      </c>
      <c r="L2">
        <f>H2*250</f>
        <v>3000</v>
      </c>
      <c r="M2">
        <f t="shared" ref="M2:M7" si="1">K2-L2</f>
        <v>16160</v>
      </c>
      <c r="N2" t="s">
        <v>61</v>
      </c>
      <c r="O2">
        <v>30</v>
      </c>
      <c r="P2" s="6">
        <f t="shared" ref="P2:P7" si="2">B2+O2</f>
        <v>46057</v>
      </c>
      <c r="Q2" s="6">
        <v>46057</v>
      </c>
      <c r="R2" t="s">
        <v>10</v>
      </c>
      <c r="S2" t="s">
        <v>312</v>
      </c>
    </row>
    <row r="3" spans="1:19" x14ac:dyDescent="0.35">
      <c r="A3">
        <v>2</v>
      </c>
      <c r="B3" s="6">
        <v>46028</v>
      </c>
      <c r="C3" t="s">
        <v>94</v>
      </c>
      <c r="D3" t="s">
        <v>176</v>
      </c>
      <c r="E3" t="s">
        <v>202</v>
      </c>
      <c r="G3" t="s">
        <v>313</v>
      </c>
      <c r="H3">
        <v>8</v>
      </c>
      <c r="I3" s="8">
        <v>1596.6386554621849</v>
      </c>
      <c r="J3">
        <v>0</v>
      </c>
      <c r="K3" s="8">
        <f t="shared" si="0"/>
        <v>12773</v>
      </c>
      <c r="L3">
        <f>H3*250</f>
        <v>2000</v>
      </c>
      <c r="M3">
        <f t="shared" si="1"/>
        <v>10773</v>
      </c>
      <c r="N3" t="s">
        <v>61</v>
      </c>
      <c r="O3">
        <v>30</v>
      </c>
      <c r="P3" s="6">
        <f t="shared" si="2"/>
        <v>46058</v>
      </c>
      <c r="Q3" s="6">
        <v>46058</v>
      </c>
      <c r="R3" t="s">
        <v>10</v>
      </c>
      <c r="S3" t="s">
        <v>312</v>
      </c>
    </row>
    <row r="4" spans="1:19" x14ac:dyDescent="0.35">
      <c r="A4">
        <v>3</v>
      </c>
      <c r="B4" s="6">
        <v>46029</v>
      </c>
      <c r="C4" t="s">
        <v>100</v>
      </c>
      <c r="D4" t="s">
        <v>178</v>
      </c>
      <c r="E4" t="s">
        <v>204</v>
      </c>
      <c r="G4" t="s">
        <v>314</v>
      </c>
      <c r="H4">
        <v>9</v>
      </c>
      <c r="I4" s="8">
        <v>1596.6386554621849</v>
      </c>
      <c r="J4">
        <v>0</v>
      </c>
      <c r="K4" s="8">
        <f t="shared" si="0"/>
        <v>14370</v>
      </c>
      <c r="L4">
        <f>H4*250</f>
        <v>2250</v>
      </c>
      <c r="M4">
        <f t="shared" si="1"/>
        <v>12120</v>
      </c>
      <c r="N4" t="s">
        <v>60</v>
      </c>
      <c r="O4">
        <v>30</v>
      </c>
      <c r="P4" s="6">
        <f t="shared" si="2"/>
        <v>46059</v>
      </c>
      <c r="R4" t="s">
        <v>9</v>
      </c>
      <c r="S4" t="s">
        <v>312</v>
      </c>
    </row>
    <row r="5" spans="1:19" x14ac:dyDescent="0.35">
      <c r="A5">
        <v>4</v>
      </c>
      <c r="B5" s="6">
        <v>46031</v>
      </c>
      <c r="C5" t="s">
        <v>113</v>
      </c>
      <c r="D5" t="s">
        <v>186</v>
      </c>
      <c r="E5" t="s">
        <v>206</v>
      </c>
      <c r="G5" t="s">
        <v>315</v>
      </c>
      <c r="H5">
        <v>5</v>
      </c>
      <c r="I5" s="8">
        <v>4957.9831932773113</v>
      </c>
      <c r="J5">
        <v>0</v>
      </c>
      <c r="K5" s="8">
        <f t="shared" si="0"/>
        <v>24790</v>
      </c>
      <c r="L5">
        <f>H5*1000</f>
        <v>5000</v>
      </c>
      <c r="M5">
        <f t="shared" si="1"/>
        <v>19790</v>
      </c>
      <c r="N5" t="s">
        <v>61</v>
      </c>
      <c r="O5">
        <v>30</v>
      </c>
      <c r="P5" s="6">
        <f t="shared" si="2"/>
        <v>46061</v>
      </c>
      <c r="Q5" s="6">
        <v>46061</v>
      </c>
      <c r="R5" t="s">
        <v>9</v>
      </c>
      <c r="S5" t="s">
        <v>312</v>
      </c>
    </row>
    <row r="6" spans="1:19" x14ac:dyDescent="0.35">
      <c r="A6">
        <v>5</v>
      </c>
      <c r="B6" s="6">
        <v>46034</v>
      </c>
      <c r="C6" t="s">
        <v>118</v>
      </c>
      <c r="D6" t="s">
        <v>189</v>
      </c>
      <c r="E6" t="s">
        <v>207</v>
      </c>
      <c r="G6" t="s">
        <v>296</v>
      </c>
      <c r="H6">
        <v>8</v>
      </c>
      <c r="I6" s="8">
        <v>4957.9831932773113</v>
      </c>
      <c r="J6">
        <v>0</v>
      </c>
      <c r="K6" s="8">
        <f t="shared" si="0"/>
        <v>39664</v>
      </c>
      <c r="L6">
        <f>H6*1000</f>
        <v>8000</v>
      </c>
      <c r="M6">
        <f t="shared" si="1"/>
        <v>31664</v>
      </c>
      <c r="N6" t="s">
        <v>60</v>
      </c>
      <c r="O6">
        <v>30</v>
      </c>
      <c r="P6" s="6">
        <f t="shared" si="2"/>
        <v>46064</v>
      </c>
      <c r="R6" t="s">
        <v>9</v>
      </c>
      <c r="S6" t="s">
        <v>312</v>
      </c>
    </row>
    <row r="7" spans="1:19" x14ac:dyDescent="0.35">
      <c r="A7">
        <v>6</v>
      </c>
      <c r="B7" s="6">
        <v>46035</v>
      </c>
      <c r="C7" t="s">
        <v>87</v>
      </c>
      <c r="D7" t="s">
        <v>134</v>
      </c>
      <c r="E7" t="s">
        <v>208</v>
      </c>
      <c r="F7" t="s">
        <v>289</v>
      </c>
      <c r="G7" t="s">
        <v>291</v>
      </c>
      <c r="H7">
        <v>50</v>
      </c>
      <c r="I7" s="8">
        <v>4957.9831932773113</v>
      </c>
      <c r="J7">
        <v>0</v>
      </c>
      <c r="K7" s="8">
        <f t="shared" si="0"/>
        <v>247899</v>
      </c>
      <c r="L7">
        <f>H7*1000</f>
        <v>50000</v>
      </c>
      <c r="M7">
        <f t="shared" si="1"/>
        <v>197899</v>
      </c>
      <c r="N7" t="s">
        <v>60</v>
      </c>
      <c r="O7">
        <v>30</v>
      </c>
      <c r="P7" s="6">
        <f t="shared" si="2"/>
        <v>46065</v>
      </c>
      <c r="R7" t="s">
        <v>9</v>
      </c>
      <c r="S7" t="s">
        <v>316</v>
      </c>
    </row>
    <row r="8" spans="1:19" x14ac:dyDescent="0.35">
      <c r="G8" s="1" t="s">
        <v>317</v>
      </c>
      <c r="H8" s="1">
        <f>SUM(H2:H7)</f>
        <v>92</v>
      </c>
      <c r="I8" s="9"/>
      <c r="J8" s="1"/>
      <c r="K8" s="9">
        <f>SUM(K2:K7)</f>
        <v>358656</v>
      </c>
      <c r="L8" s="1"/>
      <c r="M8" s="1">
        <f>SUM(M2:M7)</f>
        <v>288406</v>
      </c>
    </row>
  </sheetData>
  <dataValidations count="2">
    <dataValidation type="list" allowBlank="1" showInputMessage="1" showErrorMessage="1" sqref="N2:N500" xr:uid="{F5A5C0E6-6DA5-45CB-9BB0-91628A21DDB1}">
      <formula1>EstadosFactura</formula1>
    </dataValidation>
    <dataValidation type="list" allowBlank="1" showInputMessage="1" showErrorMessage="1" sqref="R2:R500" xr:uid="{9A1BF690-B16B-4BB2-B292-F5FC7F819522}">
      <formula1>Responsables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9FBE-9D82-47E2-A7C6-B4D45632E24B}">
  <dimension ref="A1:M4"/>
  <sheetViews>
    <sheetView workbookViewId="0"/>
  </sheetViews>
  <sheetFormatPr baseColWidth="10" defaultRowHeight="14.5" x14ac:dyDescent="0.35"/>
  <cols>
    <col min="1" max="1" width="11.26953125" customWidth="1"/>
    <col min="2" max="2" width="11.54296875" customWidth="1"/>
    <col min="3" max="3" width="11.26953125" customWidth="1"/>
    <col min="4" max="4" width="9.08984375" bestFit="1" customWidth="1"/>
    <col min="5" max="5" width="11.36328125" customWidth="1"/>
    <col min="6" max="6" width="17.08984375" customWidth="1"/>
    <col min="7" max="7" width="8.81640625" customWidth="1"/>
    <col min="8" max="8" width="15.08984375" customWidth="1"/>
    <col min="9" max="9" width="11.26953125" customWidth="1"/>
    <col min="10" max="10" width="9.08984375" bestFit="1" customWidth="1"/>
    <col min="11" max="11" width="17.26953125" customWidth="1"/>
    <col min="12" max="12" width="11.7265625" customWidth="1"/>
    <col min="13" max="13" width="12.54296875" bestFit="1" customWidth="1"/>
  </cols>
  <sheetData>
    <row r="1" spans="1:13" x14ac:dyDescent="0.35">
      <c r="A1" s="5" t="s">
        <v>278</v>
      </c>
      <c r="B1" s="5" t="s">
        <v>73</v>
      </c>
      <c r="C1" s="5" t="s">
        <v>279</v>
      </c>
      <c r="D1" s="5" t="s">
        <v>280</v>
      </c>
      <c r="E1" s="5" t="s">
        <v>281</v>
      </c>
      <c r="F1" s="5" t="s">
        <v>282</v>
      </c>
      <c r="G1" s="5" t="s">
        <v>283</v>
      </c>
      <c r="H1" s="5" t="s">
        <v>284</v>
      </c>
      <c r="I1" s="5" t="s">
        <v>285</v>
      </c>
      <c r="J1" s="5" t="s">
        <v>81</v>
      </c>
      <c r="K1" s="5" t="s">
        <v>286</v>
      </c>
      <c r="L1" s="5" t="s">
        <v>287</v>
      </c>
      <c r="M1" s="5" t="s">
        <v>86</v>
      </c>
    </row>
    <row r="2" spans="1:13" x14ac:dyDescent="0.35">
      <c r="A2" t="s">
        <v>288</v>
      </c>
      <c r="B2" t="s">
        <v>87</v>
      </c>
      <c r="C2" s="6">
        <v>46032</v>
      </c>
      <c r="D2" t="s">
        <v>289</v>
      </c>
      <c r="E2">
        <v>295000</v>
      </c>
      <c r="F2" s="6">
        <v>46034</v>
      </c>
      <c r="G2" t="s">
        <v>290</v>
      </c>
      <c r="H2" s="6">
        <v>46035</v>
      </c>
      <c r="I2" t="s">
        <v>291</v>
      </c>
      <c r="J2" t="s">
        <v>47</v>
      </c>
      <c r="L2">
        <f ca="1">IF(K2="",TODAY()-C2,K2-C2)</f>
        <v>178</v>
      </c>
      <c r="M2" t="s">
        <v>292</v>
      </c>
    </row>
    <row r="3" spans="1:13" x14ac:dyDescent="0.35">
      <c r="A3" t="s">
        <v>293</v>
      </c>
      <c r="B3" t="s">
        <v>118</v>
      </c>
      <c r="C3" s="6">
        <v>46033</v>
      </c>
      <c r="D3" t="s">
        <v>294</v>
      </c>
      <c r="E3">
        <v>47200</v>
      </c>
      <c r="F3" s="6">
        <v>46034</v>
      </c>
      <c r="G3" t="s">
        <v>295</v>
      </c>
      <c r="H3" s="6">
        <v>46034</v>
      </c>
      <c r="I3" t="s">
        <v>296</v>
      </c>
      <c r="J3" t="s">
        <v>48</v>
      </c>
      <c r="K3" s="6">
        <v>46037</v>
      </c>
      <c r="L3">
        <f ca="1">IF(K3="",TODAY()-C3,K3-C3)</f>
        <v>4</v>
      </c>
      <c r="M3" t="s">
        <v>18</v>
      </c>
    </row>
    <row r="4" spans="1:13" x14ac:dyDescent="0.35">
      <c r="A4" t="s">
        <v>297</v>
      </c>
      <c r="B4" t="s">
        <v>94</v>
      </c>
      <c r="C4" s="6">
        <v>46027</v>
      </c>
      <c r="D4" t="s">
        <v>298</v>
      </c>
      <c r="E4">
        <v>22800</v>
      </c>
      <c r="F4" s="6">
        <v>46027</v>
      </c>
      <c r="G4" t="s">
        <v>299</v>
      </c>
      <c r="H4" s="6">
        <v>46027</v>
      </c>
      <c r="I4" t="s">
        <v>300</v>
      </c>
      <c r="J4" t="s">
        <v>49</v>
      </c>
      <c r="K4" s="6">
        <v>46027</v>
      </c>
      <c r="L4">
        <f ca="1">IF(K4="",TODAY()-C4,K4-C4)</f>
        <v>0</v>
      </c>
    </row>
  </sheetData>
  <dataValidations count="1">
    <dataValidation type="list" allowBlank="1" showInputMessage="1" showErrorMessage="1" sqref="J2:J500" xr:uid="{9DAFD41C-1377-4A5D-905A-BEB93244E70D}">
      <formula1>EstadosPedido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DEE0-B37D-4D86-849C-DBC35CEBD526}">
  <dimension ref="A1:I14"/>
  <sheetViews>
    <sheetView workbookViewId="0"/>
  </sheetViews>
  <sheetFormatPr baseColWidth="10" defaultRowHeight="14.5" x14ac:dyDescent="0.35"/>
  <cols>
    <col min="1" max="1" width="21.453125" bestFit="1" customWidth="1"/>
    <col min="2" max="2" width="15" bestFit="1" customWidth="1"/>
    <col min="3" max="3" width="19.26953125" bestFit="1" customWidth="1"/>
    <col min="4" max="4" width="17.7265625" bestFit="1" customWidth="1"/>
    <col min="5" max="5" width="19.36328125" bestFit="1" customWidth="1"/>
    <col min="6" max="6" width="17.90625" bestFit="1" customWidth="1"/>
    <col min="7" max="7" width="15.08984375" customWidth="1"/>
    <col min="8" max="8" width="16.26953125" bestFit="1" customWidth="1"/>
    <col min="9" max="9" width="10.26953125" bestFit="1" customWidth="1"/>
  </cols>
  <sheetData>
    <row r="1" spans="1:9" x14ac:dyDescent="0.35">
      <c r="A1" s="1" t="s">
        <v>263</v>
      </c>
    </row>
    <row r="2" spans="1:9" x14ac:dyDescent="0.35">
      <c r="A2" s="5" t="s">
        <v>191</v>
      </c>
      <c r="B2" s="5" t="s">
        <v>264</v>
      </c>
      <c r="C2" s="5" t="s">
        <v>265</v>
      </c>
      <c r="D2" s="5" t="s">
        <v>266</v>
      </c>
      <c r="E2" s="5" t="s">
        <v>267</v>
      </c>
      <c r="F2" s="5" t="s">
        <v>268</v>
      </c>
      <c r="G2" s="5" t="s">
        <v>269</v>
      </c>
      <c r="H2" s="5" t="s">
        <v>270</v>
      </c>
      <c r="I2" s="5" t="s">
        <v>271</v>
      </c>
    </row>
    <row r="3" spans="1:9" x14ac:dyDescent="0.35">
      <c r="A3" t="s">
        <v>199</v>
      </c>
      <c r="B3">
        <v>200</v>
      </c>
      <c r="C3">
        <v>120</v>
      </c>
      <c r="D3">
        <v>60</v>
      </c>
      <c r="E3">
        <v>20</v>
      </c>
      <c r="F3">
        <v>0</v>
      </c>
      <c r="G3">
        <f t="shared" ref="G3:G8" si="0">B3-C3-D3-E3-F3</f>
        <v>0</v>
      </c>
      <c r="H3">
        <v>30</v>
      </c>
      <c r="I3" t="str">
        <f t="shared" ref="I3:I8" si="1">IF(G3&lt;=0,"QUIEBRE",IF(G3&lt;=H3,"BAJO","OK"))</f>
        <v>QUIEBRE</v>
      </c>
    </row>
    <row r="4" spans="1:9" x14ac:dyDescent="0.35">
      <c r="A4" t="s">
        <v>202</v>
      </c>
      <c r="B4">
        <v>200</v>
      </c>
      <c r="C4">
        <v>120</v>
      </c>
      <c r="D4">
        <v>60</v>
      </c>
      <c r="E4">
        <v>20</v>
      </c>
      <c r="F4">
        <v>0</v>
      </c>
      <c r="G4">
        <f t="shared" si="0"/>
        <v>0</v>
      </c>
      <c r="H4">
        <v>30</v>
      </c>
      <c r="I4" t="str">
        <f t="shared" si="1"/>
        <v>QUIEBRE</v>
      </c>
    </row>
    <row r="5" spans="1:9" x14ac:dyDescent="0.35">
      <c r="A5" t="s">
        <v>204</v>
      </c>
      <c r="B5">
        <v>200</v>
      </c>
      <c r="C5">
        <v>120</v>
      </c>
      <c r="D5">
        <v>60</v>
      </c>
      <c r="E5">
        <v>20</v>
      </c>
      <c r="F5">
        <v>0</v>
      </c>
      <c r="G5">
        <f t="shared" si="0"/>
        <v>0</v>
      </c>
      <c r="H5">
        <v>30</v>
      </c>
      <c r="I5" t="str">
        <f t="shared" si="1"/>
        <v>QUIEBRE</v>
      </c>
    </row>
    <row r="6" spans="1:9" x14ac:dyDescent="0.35">
      <c r="A6" t="s">
        <v>206</v>
      </c>
      <c r="B6">
        <v>200</v>
      </c>
      <c r="C6">
        <v>120</v>
      </c>
      <c r="D6">
        <v>60</v>
      </c>
      <c r="E6">
        <v>20</v>
      </c>
      <c r="F6">
        <v>0</v>
      </c>
      <c r="G6">
        <f t="shared" si="0"/>
        <v>0</v>
      </c>
      <c r="H6">
        <v>30</v>
      </c>
      <c r="I6" t="str">
        <f t="shared" si="1"/>
        <v>QUIEBRE</v>
      </c>
    </row>
    <row r="7" spans="1:9" x14ac:dyDescent="0.35">
      <c r="A7" t="s">
        <v>207</v>
      </c>
      <c r="B7">
        <v>200</v>
      </c>
      <c r="C7">
        <v>120</v>
      </c>
      <c r="D7">
        <v>60</v>
      </c>
      <c r="E7">
        <v>20</v>
      </c>
      <c r="F7">
        <v>0</v>
      </c>
      <c r="G7">
        <f t="shared" si="0"/>
        <v>0</v>
      </c>
      <c r="H7">
        <v>30</v>
      </c>
      <c r="I7" t="str">
        <f t="shared" si="1"/>
        <v>QUIEBRE</v>
      </c>
    </row>
    <row r="8" spans="1:9" x14ac:dyDescent="0.35">
      <c r="A8" t="s">
        <v>208</v>
      </c>
      <c r="B8">
        <v>200</v>
      </c>
      <c r="C8">
        <v>120</v>
      </c>
      <c r="D8">
        <v>60</v>
      </c>
      <c r="E8">
        <v>20</v>
      </c>
      <c r="F8">
        <v>0</v>
      </c>
      <c r="G8">
        <f t="shared" si="0"/>
        <v>0</v>
      </c>
      <c r="H8">
        <v>30</v>
      </c>
      <c r="I8" t="str">
        <f t="shared" si="1"/>
        <v>QUIEBRE</v>
      </c>
    </row>
    <row r="10" spans="1:9" x14ac:dyDescent="0.35">
      <c r="A10" s="1" t="s">
        <v>272</v>
      </c>
    </row>
    <row r="11" spans="1:9" x14ac:dyDescent="0.35">
      <c r="A11" s="5" t="s">
        <v>124</v>
      </c>
      <c r="B11" s="5" t="s">
        <v>191</v>
      </c>
      <c r="C11" s="5" t="s">
        <v>273</v>
      </c>
      <c r="D11" s="5" t="s">
        <v>274</v>
      </c>
      <c r="E11" s="5" t="s">
        <v>275</v>
      </c>
      <c r="F11" s="5" t="s">
        <v>276</v>
      </c>
      <c r="G11" s="5" t="s">
        <v>277</v>
      </c>
      <c r="H11" s="5" t="s">
        <v>271</v>
      </c>
    </row>
    <row r="12" spans="1:9" x14ac:dyDescent="0.35">
      <c r="A12" t="s">
        <v>134</v>
      </c>
      <c r="B12" t="s">
        <v>206</v>
      </c>
      <c r="C12">
        <v>50</v>
      </c>
      <c r="D12">
        <v>50</v>
      </c>
      <c r="E12">
        <f>C12-D12</f>
        <v>0</v>
      </c>
      <c r="F12">
        <v>5</v>
      </c>
      <c r="G12">
        <f>IFERROR(E12/F12,0)</f>
        <v>0</v>
      </c>
      <c r="H12" t="str">
        <f>IF(G12&lt;2,"REPONER","OK")</f>
        <v>REPONER</v>
      </c>
    </row>
    <row r="13" spans="1:9" x14ac:dyDescent="0.35">
      <c r="A13" t="s">
        <v>174</v>
      </c>
      <c r="B13" t="s">
        <v>199</v>
      </c>
      <c r="C13">
        <v>12</v>
      </c>
      <c r="D13">
        <v>10</v>
      </c>
      <c r="E13">
        <f>C13-D13</f>
        <v>2</v>
      </c>
      <c r="F13">
        <v>3</v>
      </c>
      <c r="G13">
        <f>IFERROR(E13/F13,0)</f>
        <v>0.66666666666666663</v>
      </c>
      <c r="H13" t="str">
        <f>IF(G13&lt;2,"REPONER","OK")</f>
        <v>REPONER</v>
      </c>
    </row>
    <row r="14" spans="1:9" x14ac:dyDescent="0.35">
      <c r="A14" t="s">
        <v>189</v>
      </c>
      <c r="B14" t="s">
        <v>207</v>
      </c>
      <c r="C14">
        <v>10</v>
      </c>
      <c r="D14">
        <v>8</v>
      </c>
      <c r="E14">
        <f>C14-D14</f>
        <v>2</v>
      </c>
      <c r="F14">
        <v>2</v>
      </c>
      <c r="G14">
        <f>IFERROR(E14/F14,0)</f>
        <v>1</v>
      </c>
      <c r="H14" t="str">
        <f>IF(G14&lt;2,"REPONER","OK")</f>
        <v>REPONER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C451-446A-4126-9494-DC775374E054}">
  <dimension ref="A1:Q3"/>
  <sheetViews>
    <sheetView workbookViewId="0"/>
  </sheetViews>
  <sheetFormatPr baseColWidth="10" defaultRowHeight="14.5" x14ac:dyDescent="0.35"/>
  <cols>
    <col min="1" max="1" width="10.08984375" bestFit="1" customWidth="1"/>
    <col min="2" max="2" width="8.90625" customWidth="1"/>
    <col min="3" max="3" width="10.54296875" bestFit="1" customWidth="1"/>
    <col min="4" max="4" width="17.90625" customWidth="1"/>
    <col min="5" max="5" width="21.1796875" customWidth="1"/>
    <col min="6" max="6" width="17.26953125" customWidth="1"/>
    <col min="7" max="7" width="16.26953125" customWidth="1"/>
    <col min="8" max="8" width="12.1796875" customWidth="1"/>
    <col min="9" max="9" width="11.36328125" customWidth="1"/>
    <col min="10" max="10" width="14.81640625" customWidth="1"/>
    <col min="11" max="11" width="14.6328125" customWidth="1"/>
    <col min="12" max="12" width="13.54296875" customWidth="1"/>
    <col min="13" max="13" width="16.1796875" customWidth="1"/>
    <col min="14" max="14" width="15" customWidth="1"/>
    <col min="15" max="15" width="11.453125" bestFit="1" customWidth="1"/>
    <col min="16" max="16" width="10.81640625" customWidth="1"/>
    <col min="17" max="17" width="16.1796875" customWidth="1"/>
  </cols>
  <sheetData>
    <row r="1" spans="1:17" x14ac:dyDescent="0.35">
      <c r="A1" s="5" t="s">
        <v>220</v>
      </c>
      <c r="B1" s="5" t="s">
        <v>124</v>
      </c>
      <c r="C1" s="5" t="s">
        <v>80</v>
      </c>
      <c r="D1" s="5" t="s">
        <v>237</v>
      </c>
      <c r="E1" s="5" t="s">
        <v>238</v>
      </c>
      <c r="F1" s="5" t="s">
        <v>239</v>
      </c>
      <c r="G1" s="5" t="s">
        <v>240</v>
      </c>
      <c r="H1" s="5" t="s">
        <v>241</v>
      </c>
      <c r="I1" s="5" t="s">
        <v>242</v>
      </c>
      <c r="J1" s="5" t="s">
        <v>243</v>
      </c>
      <c r="K1" s="5" t="s">
        <v>244</v>
      </c>
      <c r="L1" s="5" t="s">
        <v>245</v>
      </c>
      <c r="M1" s="5" t="s">
        <v>246</v>
      </c>
      <c r="N1" s="5" t="s">
        <v>247</v>
      </c>
      <c r="O1" s="5" t="s">
        <v>248</v>
      </c>
      <c r="P1" s="5" t="s">
        <v>249</v>
      </c>
      <c r="Q1" s="5" t="s">
        <v>83</v>
      </c>
    </row>
    <row r="2" spans="1:17" x14ac:dyDescent="0.35">
      <c r="A2" s="6">
        <v>46210</v>
      </c>
      <c r="B2" t="s">
        <v>174</v>
      </c>
      <c r="C2" t="s">
        <v>10</v>
      </c>
      <c r="D2" t="s">
        <v>23</v>
      </c>
      <c r="E2">
        <v>12</v>
      </c>
      <c r="F2">
        <v>4</v>
      </c>
      <c r="G2">
        <f>E2-F2</f>
        <v>8</v>
      </c>
      <c r="H2">
        <v>1900</v>
      </c>
      <c r="I2" t="s">
        <v>250</v>
      </c>
      <c r="J2" t="s">
        <v>251</v>
      </c>
      <c r="K2" t="s">
        <v>252</v>
      </c>
      <c r="L2" t="s">
        <v>253</v>
      </c>
      <c r="M2" t="s">
        <v>201</v>
      </c>
      <c r="N2">
        <v>8</v>
      </c>
      <c r="O2" t="s">
        <v>254</v>
      </c>
      <c r="Q2" t="s">
        <v>255</v>
      </c>
    </row>
    <row r="3" spans="1:17" x14ac:dyDescent="0.35">
      <c r="A3" s="6">
        <v>46212</v>
      </c>
      <c r="B3" t="s">
        <v>134</v>
      </c>
      <c r="C3" t="s">
        <v>9</v>
      </c>
      <c r="D3" t="s">
        <v>22</v>
      </c>
      <c r="E3">
        <v>50</v>
      </c>
      <c r="F3">
        <v>45</v>
      </c>
      <c r="G3">
        <f>E3-F3</f>
        <v>5</v>
      </c>
      <c r="H3">
        <v>5900</v>
      </c>
      <c r="I3" t="s">
        <v>256</v>
      </c>
      <c r="J3" t="s">
        <v>257</v>
      </c>
      <c r="K3" t="s">
        <v>258</v>
      </c>
      <c r="L3" t="s">
        <v>259</v>
      </c>
      <c r="M3" t="s">
        <v>260</v>
      </c>
      <c r="N3">
        <v>0</v>
      </c>
      <c r="O3" t="s">
        <v>261</v>
      </c>
      <c r="Q3" t="s">
        <v>262</v>
      </c>
    </row>
  </sheetData>
  <dataValidations count="2">
    <dataValidation type="list" allowBlank="1" showInputMessage="1" showErrorMessage="1" sqref="C2:C500" xr:uid="{5B370690-6A43-429B-B8C6-DFB3AEE1C487}">
      <formula1>Responsables</formula1>
    </dataValidation>
    <dataValidation type="list" allowBlank="1" showInputMessage="1" showErrorMessage="1" sqref="D2:D500" xr:uid="{3734997B-D6E2-4452-AB00-4012A8971C70}">
      <formula1>Formato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8A4B-245F-4743-B19E-E531F0C8FD25}">
  <dimension ref="A1:J4"/>
  <sheetViews>
    <sheetView workbookViewId="0"/>
  </sheetViews>
  <sheetFormatPr baseColWidth="10" defaultRowHeight="14.5" x14ac:dyDescent="0.35"/>
  <cols>
    <col min="1" max="1" width="10.1796875" customWidth="1"/>
    <col min="2" max="2" width="10.08984375" bestFit="1" customWidth="1"/>
    <col min="3" max="3" width="10.54296875" bestFit="1" customWidth="1"/>
    <col min="4" max="4" width="11.54296875" customWidth="1"/>
    <col min="5" max="5" width="8.90625" customWidth="1"/>
    <col min="6" max="6" width="10.81640625" bestFit="1" customWidth="1"/>
    <col min="7" max="7" width="21.26953125" bestFit="1" customWidth="1"/>
    <col min="8" max="8" width="14" customWidth="1"/>
    <col min="9" max="9" width="16.1796875" customWidth="1"/>
    <col min="10" max="10" width="15.54296875" customWidth="1"/>
  </cols>
  <sheetData>
    <row r="1" spans="1:10" x14ac:dyDescent="0.35">
      <c r="A1" s="5" t="s">
        <v>219</v>
      </c>
      <c r="B1" s="5" t="s">
        <v>220</v>
      </c>
      <c r="C1" s="5" t="s">
        <v>80</v>
      </c>
      <c r="D1" s="5" t="s">
        <v>73</v>
      </c>
      <c r="E1" s="5" t="s">
        <v>124</v>
      </c>
      <c r="F1" s="5" t="s">
        <v>221</v>
      </c>
      <c r="G1" s="5" t="s">
        <v>222</v>
      </c>
      <c r="H1" s="5" t="s">
        <v>223</v>
      </c>
      <c r="I1" s="5" t="s">
        <v>83</v>
      </c>
      <c r="J1" s="5" t="s">
        <v>84</v>
      </c>
    </row>
    <row r="2" spans="1:10" x14ac:dyDescent="0.35">
      <c r="A2" t="s">
        <v>224</v>
      </c>
      <c r="B2" s="6">
        <v>46210</v>
      </c>
      <c r="C2" t="s">
        <v>10</v>
      </c>
      <c r="D2" t="s">
        <v>94</v>
      </c>
      <c r="E2" t="s">
        <v>174</v>
      </c>
      <c r="F2" t="s">
        <v>225</v>
      </c>
      <c r="G2" t="s">
        <v>226</v>
      </c>
      <c r="H2" t="s">
        <v>227</v>
      </c>
      <c r="I2" t="s">
        <v>228</v>
      </c>
      <c r="J2" s="6">
        <v>46224</v>
      </c>
    </row>
    <row r="3" spans="1:10" x14ac:dyDescent="0.35">
      <c r="A3" t="s">
        <v>229</v>
      </c>
      <c r="B3" s="6">
        <v>46211</v>
      </c>
      <c r="C3" t="s">
        <v>9</v>
      </c>
      <c r="D3" t="s">
        <v>118</v>
      </c>
      <c r="E3" t="s">
        <v>189</v>
      </c>
      <c r="F3" t="s">
        <v>122</v>
      </c>
      <c r="G3" t="s">
        <v>230</v>
      </c>
      <c r="H3" t="s">
        <v>227</v>
      </c>
      <c r="I3" t="s">
        <v>231</v>
      </c>
      <c r="J3" s="6">
        <v>46242</v>
      </c>
    </row>
    <row r="4" spans="1:10" x14ac:dyDescent="0.35">
      <c r="A4" t="s">
        <v>232</v>
      </c>
      <c r="B4" s="6">
        <v>46212</v>
      </c>
      <c r="C4" t="s">
        <v>9</v>
      </c>
      <c r="D4" t="s">
        <v>87</v>
      </c>
      <c r="E4" t="s">
        <v>134</v>
      </c>
      <c r="F4" t="s">
        <v>233</v>
      </c>
      <c r="G4" t="s">
        <v>234</v>
      </c>
      <c r="H4" t="s">
        <v>235</v>
      </c>
      <c r="I4" t="s">
        <v>236</v>
      </c>
      <c r="J4" s="6">
        <v>46219</v>
      </c>
    </row>
  </sheetData>
  <dataValidations count="1">
    <dataValidation type="list" allowBlank="1" showInputMessage="1" showErrorMessage="1" sqref="C2:C500" xr:uid="{48B718F8-D832-45A2-97CD-DADCBD8814E1}">
      <formula1>Responsables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0E42-5D7D-4E4E-B290-29E924E85892}">
  <dimension ref="A1:J7"/>
  <sheetViews>
    <sheetView workbookViewId="0"/>
  </sheetViews>
  <sheetFormatPr baseColWidth="10" defaultRowHeight="14.5" x14ac:dyDescent="0.35"/>
  <cols>
    <col min="1" max="1" width="8.90625" customWidth="1"/>
    <col min="2" max="2" width="18.7265625" customWidth="1"/>
    <col min="3" max="3" width="19" customWidth="1"/>
    <col min="4" max="4" width="13.81640625" customWidth="1"/>
    <col min="5" max="5" width="12.7265625" customWidth="1"/>
    <col min="6" max="6" width="13.90625" customWidth="1"/>
    <col min="7" max="7" width="10.36328125" customWidth="1"/>
    <col min="8" max="8" width="13.36328125" customWidth="1"/>
    <col min="9" max="9" width="12.453125" customWidth="1"/>
    <col min="10" max="10" width="10.453125" customWidth="1"/>
  </cols>
  <sheetData>
    <row r="1" spans="1:10" x14ac:dyDescent="0.35">
      <c r="A1" s="5" t="s">
        <v>124</v>
      </c>
      <c r="B1" s="5" t="s">
        <v>210</v>
      </c>
      <c r="C1" s="5" t="s">
        <v>211</v>
      </c>
      <c r="D1" s="5" t="s">
        <v>212</v>
      </c>
      <c r="E1" s="5" t="s">
        <v>213</v>
      </c>
      <c r="F1" s="5" t="s">
        <v>214</v>
      </c>
      <c r="G1" s="5" t="s">
        <v>215</v>
      </c>
      <c r="H1" s="5" t="s">
        <v>216</v>
      </c>
      <c r="I1" s="5" t="s">
        <v>217</v>
      </c>
      <c r="J1" s="5" t="s">
        <v>218</v>
      </c>
    </row>
    <row r="2" spans="1:10" x14ac:dyDescent="0.35">
      <c r="A2" t="s">
        <v>134</v>
      </c>
      <c r="B2">
        <v>5</v>
      </c>
      <c r="C2">
        <v>5</v>
      </c>
      <c r="D2">
        <v>4</v>
      </c>
      <c r="E2">
        <v>5</v>
      </c>
      <c r="F2">
        <v>-3</v>
      </c>
      <c r="G2">
        <v>4</v>
      </c>
      <c r="H2">
        <v>4</v>
      </c>
      <c r="I2">
        <f t="shared" ref="I2:I7" si="0">SUM(B2)+G2+H2+F2</f>
        <v>10</v>
      </c>
      <c r="J2" t="str">
        <f t="shared" ref="J2:J7" si="1">IF(I2&gt;=18,"Alta",IF(I2&gt;=12,"Media","Baja"))</f>
        <v>Baja</v>
      </c>
    </row>
    <row r="3" spans="1:10" x14ac:dyDescent="0.35">
      <c r="A3" t="s">
        <v>174</v>
      </c>
      <c r="B3">
        <v>5</v>
      </c>
      <c r="C3">
        <v>4</v>
      </c>
      <c r="D3">
        <v>5</v>
      </c>
      <c r="E3">
        <v>4</v>
      </c>
      <c r="F3">
        <v>-1</v>
      </c>
      <c r="G3">
        <v>5</v>
      </c>
      <c r="H3">
        <v>5</v>
      </c>
      <c r="I3">
        <f t="shared" si="0"/>
        <v>14</v>
      </c>
      <c r="J3" t="str">
        <f t="shared" si="1"/>
        <v>Media</v>
      </c>
    </row>
    <row r="4" spans="1:10" x14ac:dyDescent="0.35">
      <c r="A4" t="s">
        <v>178</v>
      </c>
      <c r="B4">
        <v>4</v>
      </c>
      <c r="C4">
        <v>4</v>
      </c>
      <c r="D4">
        <v>5</v>
      </c>
      <c r="E4">
        <v>4</v>
      </c>
      <c r="F4">
        <v>-1</v>
      </c>
      <c r="G4">
        <v>5</v>
      </c>
      <c r="H4">
        <v>4</v>
      </c>
      <c r="I4">
        <f t="shared" si="0"/>
        <v>12</v>
      </c>
      <c r="J4" t="str">
        <f t="shared" si="1"/>
        <v>Media</v>
      </c>
    </row>
    <row r="5" spans="1:10" x14ac:dyDescent="0.35">
      <c r="A5" t="s">
        <v>186</v>
      </c>
      <c r="B5">
        <v>3</v>
      </c>
      <c r="C5">
        <v>3</v>
      </c>
      <c r="D5">
        <v>4</v>
      </c>
      <c r="E5">
        <v>3</v>
      </c>
      <c r="F5">
        <v>-1</v>
      </c>
      <c r="G5">
        <v>3</v>
      </c>
      <c r="H5">
        <v>4</v>
      </c>
      <c r="I5">
        <f t="shared" si="0"/>
        <v>9</v>
      </c>
      <c r="J5" t="str">
        <f t="shared" si="1"/>
        <v>Baja</v>
      </c>
    </row>
    <row r="6" spans="1:10" x14ac:dyDescent="0.35">
      <c r="A6" t="s">
        <v>189</v>
      </c>
      <c r="B6">
        <v>5</v>
      </c>
      <c r="C6">
        <v>3</v>
      </c>
      <c r="D6">
        <v>3</v>
      </c>
      <c r="E6">
        <v>4</v>
      </c>
      <c r="F6">
        <v>-1</v>
      </c>
      <c r="G6">
        <v>3</v>
      </c>
      <c r="H6">
        <v>4</v>
      </c>
      <c r="I6">
        <f t="shared" si="0"/>
        <v>11</v>
      </c>
      <c r="J6" t="str">
        <f t="shared" si="1"/>
        <v>Baja</v>
      </c>
    </row>
    <row r="7" spans="1:10" x14ac:dyDescent="0.35">
      <c r="A7" t="s">
        <v>182</v>
      </c>
      <c r="B7">
        <v>4</v>
      </c>
      <c r="C7">
        <v>4</v>
      </c>
      <c r="D7">
        <v>4</v>
      </c>
      <c r="E7">
        <v>3</v>
      </c>
      <c r="F7">
        <v>-2</v>
      </c>
      <c r="G7">
        <v>4</v>
      </c>
      <c r="H7">
        <v>4</v>
      </c>
      <c r="I7">
        <f t="shared" si="0"/>
        <v>10</v>
      </c>
      <c r="J7" t="str">
        <f t="shared" si="1"/>
        <v>Baja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F5E6-D8C4-4C4F-B9D2-B561F2294804}">
  <dimension ref="A1:J10"/>
  <sheetViews>
    <sheetView workbookViewId="0"/>
  </sheetViews>
  <sheetFormatPr baseColWidth="10" defaultRowHeight="14.5" x14ac:dyDescent="0.35"/>
  <cols>
    <col min="1" max="1" width="10.453125" bestFit="1" customWidth="1"/>
    <col min="2" max="2" width="15.1796875" bestFit="1" customWidth="1"/>
    <col min="3" max="3" width="7.6328125" customWidth="1"/>
    <col min="4" max="4" width="9.7265625" customWidth="1"/>
    <col min="5" max="5" width="10.6328125" customWidth="1"/>
    <col min="6" max="6" width="11.81640625" bestFit="1" customWidth="1"/>
    <col min="7" max="7" width="12" customWidth="1"/>
    <col min="8" max="8" width="15.1796875" customWidth="1"/>
    <col min="9" max="9" width="14.7265625" customWidth="1"/>
    <col min="10" max="10" width="8" customWidth="1"/>
  </cols>
  <sheetData>
    <row r="1" spans="1:10" x14ac:dyDescent="0.35">
      <c r="A1" s="5" t="s">
        <v>191</v>
      </c>
      <c r="B1" s="5" t="s">
        <v>192</v>
      </c>
      <c r="C1" s="5" t="s">
        <v>193</v>
      </c>
      <c r="D1" s="5" t="s">
        <v>20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198</v>
      </c>
      <c r="J1" s="5" t="s">
        <v>69</v>
      </c>
    </row>
    <row r="2" spans="1:10" x14ac:dyDescent="0.35">
      <c r="A2" t="s">
        <v>199</v>
      </c>
      <c r="B2" s="3" t="s">
        <v>404</v>
      </c>
      <c r="C2" t="s">
        <v>200</v>
      </c>
      <c r="D2" t="s">
        <v>21</v>
      </c>
      <c r="E2">
        <v>1990</v>
      </c>
      <c r="F2">
        <f t="shared" ref="F2:F7" si="0">E2/(1+IVA)</f>
        <v>1672.2689075630253</v>
      </c>
      <c r="G2">
        <v>250</v>
      </c>
      <c r="H2" s="6">
        <v>46023</v>
      </c>
      <c r="J2" t="s">
        <v>201</v>
      </c>
    </row>
    <row r="3" spans="1:10" x14ac:dyDescent="0.35">
      <c r="A3" t="s">
        <v>202</v>
      </c>
      <c r="B3" s="3" t="s">
        <v>405</v>
      </c>
      <c r="C3" t="s">
        <v>203</v>
      </c>
      <c r="D3" t="s">
        <v>21</v>
      </c>
      <c r="E3">
        <v>1990</v>
      </c>
      <c r="F3">
        <f t="shared" si="0"/>
        <v>1672.2689075630253</v>
      </c>
      <c r="G3">
        <v>250</v>
      </c>
      <c r="H3" s="6">
        <v>46023</v>
      </c>
      <c r="J3" t="s">
        <v>201</v>
      </c>
    </row>
    <row r="4" spans="1:10" x14ac:dyDescent="0.35">
      <c r="A4" t="s">
        <v>204</v>
      </c>
      <c r="B4" s="3" t="s">
        <v>406</v>
      </c>
      <c r="C4" t="s">
        <v>205</v>
      </c>
      <c r="D4" t="s">
        <v>21</v>
      </c>
      <c r="E4">
        <v>1990</v>
      </c>
      <c r="F4">
        <f t="shared" si="0"/>
        <v>1672.2689075630253</v>
      </c>
      <c r="G4">
        <v>250</v>
      </c>
      <c r="H4" s="6">
        <v>46023</v>
      </c>
      <c r="J4" t="s">
        <v>201</v>
      </c>
    </row>
    <row r="5" spans="1:10" x14ac:dyDescent="0.35">
      <c r="A5" t="s">
        <v>206</v>
      </c>
      <c r="B5" s="3" t="s">
        <v>407</v>
      </c>
      <c r="C5" t="s">
        <v>200</v>
      </c>
      <c r="D5" t="s">
        <v>22</v>
      </c>
      <c r="E5">
        <v>5990</v>
      </c>
      <c r="F5">
        <f t="shared" si="0"/>
        <v>5033.6134453781515</v>
      </c>
      <c r="G5">
        <v>1000</v>
      </c>
      <c r="H5" s="6">
        <v>46023</v>
      </c>
      <c r="J5" t="s">
        <v>201</v>
      </c>
    </row>
    <row r="6" spans="1:10" x14ac:dyDescent="0.35">
      <c r="A6" t="s">
        <v>207</v>
      </c>
      <c r="B6" s="3" t="s">
        <v>408</v>
      </c>
      <c r="C6" t="s">
        <v>203</v>
      </c>
      <c r="D6" t="s">
        <v>22</v>
      </c>
      <c r="E6">
        <v>5990</v>
      </c>
      <c r="F6">
        <f t="shared" si="0"/>
        <v>5033.6134453781515</v>
      </c>
      <c r="G6">
        <v>1000</v>
      </c>
      <c r="H6" s="6">
        <v>46023</v>
      </c>
      <c r="J6" t="s">
        <v>201</v>
      </c>
    </row>
    <row r="7" spans="1:10" x14ac:dyDescent="0.35">
      <c r="A7" t="s">
        <v>208</v>
      </c>
      <c r="B7" s="3" t="s">
        <v>409</v>
      </c>
      <c r="C7" t="s">
        <v>205</v>
      </c>
      <c r="D7" t="s">
        <v>22</v>
      </c>
      <c r="E7">
        <v>5990</v>
      </c>
      <c r="F7">
        <f t="shared" si="0"/>
        <v>5033.6134453781515</v>
      </c>
      <c r="G7">
        <v>1000</v>
      </c>
      <c r="H7" s="6">
        <v>46023</v>
      </c>
      <c r="J7" t="s">
        <v>201</v>
      </c>
    </row>
    <row r="9" spans="1:10" x14ac:dyDescent="0.35">
      <c r="A9" s="3" t="s">
        <v>209</v>
      </c>
    </row>
    <row r="10" spans="1:10" x14ac:dyDescent="0.35">
      <c r="A10" s="3" t="s">
        <v>410</v>
      </c>
    </row>
  </sheetData>
  <dataValidations count="1">
    <dataValidation type="list" allowBlank="1" showInputMessage="1" showErrorMessage="1" sqref="D2:D50" xr:uid="{110D990F-6D11-4B1D-A580-EE84CBAF0441}">
      <formula1>Formato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0039-6189-4A3B-9ECE-8690AF49F62B}">
  <dimension ref="A1:M24"/>
  <sheetViews>
    <sheetView workbookViewId="0"/>
  </sheetViews>
  <sheetFormatPr baseColWidth="10" defaultRowHeight="14.5" x14ac:dyDescent="0.35"/>
  <cols>
    <col min="1" max="1" width="8.90625" customWidth="1"/>
    <col min="2" max="2" width="11.54296875" customWidth="1"/>
    <col min="3" max="3" width="20.81640625" bestFit="1" customWidth="1"/>
    <col min="4" max="4" width="11.54296875" bestFit="1" customWidth="1"/>
    <col min="5" max="5" width="8.54296875" customWidth="1"/>
    <col min="6" max="6" width="10.54296875" bestFit="1" customWidth="1"/>
    <col min="7" max="7" width="9.08984375" bestFit="1" customWidth="1"/>
    <col min="8" max="8" width="16.36328125" customWidth="1"/>
    <col min="9" max="9" width="17.7265625" customWidth="1"/>
    <col min="10" max="10" width="15.1796875" customWidth="1"/>
    <col min="11" max="11" width="10.7265625" customWidth="1"/>
    <col min="12" max="12" width="10.90625" customWidth="1"/>
    <col min="13" max="13" width="10.6328125" customWidth="1"/>
  </cols>
  <sheetData>
    <row r="1" spans="1:13" x14ac:dyDescent="0.35">
      <c r="A1" s="5" t="s">
        <v>124</v>
      </c>
      <c r="B1" s="5" t="s">
        <v>73</v>
      </c>
      <c r="C1" s="5" t="s">
        <v>125</v>
      </c>
      <c r="D1" s="5" t="s">
        <v>126</v>
      </c>
      <c r="E1" s="5" t="s">
        <v>127</v>
      </c>
      <c r="F1" s="5" t="s">
        <v>80</v>
      </c>
      <c r="G1" s="5" t="s">
        <v>81</v>
      </c>
      <c r="H1" s="5" t="s">
        <v>128</v>
      </c>
      <c r="I1" s="5" t="s">
        <v>129</v>
      </c>
      <c r="J1" s="5" t="s">
        <v>130</v>
      </c>
      <c r="K1" s="5" t="s">
        <v>131</v>
      </c>
      <c r="L1" s="5" t="s">
        <v>132</v>
      </c>
      <c r="M1" s="5" t="s">
        <v>133</v>
      </c>
    </row>
    <row r="2" spans="1:13" x14ac:dyDescent="0.35">
      <c r="A2" t="s">
        <v>134</v>
      </c>
      <c r="B2" t="s">
        <v>87</v>
      </c>
      <c r="C2" t="s">
        <v>135</v>
      </c>
      <c r="D2" t="s">
        <v>136</v>
      </c>
      <c r="E2" t="s">
        <v>137</v>
      </c>
      <c r="F2" t="s">
        <v>9</v>
      </c>
      <c r="G2" t="s">
        <v>69</v>
      </c>
      <c r="H2" t="s">
        <v>22</v>
      </c>
      <c r="I2" t="s">
        <v>65</v>
      </c>
      <c r="J2" s="6">
        <v>46235</v>
      </c>
      <c r="K2">
        <v>100</v>
      </c>
      <c r="L2">
        <v>120</v>
      </c>
      <c r="M2">
        <v>140</v>
      </c>
    </row>
    <row r="3" spans="1:13" x14ac:dyDescent="0.35">
      <c r="A3" t="s">
        <v>138</v>
      </c>
      <c r="B3" t="s">
        <v>87</v>
      </c>
      <c r="C3" t="s">
        <v>139</v>
      </c>
      <c r="D3" t="s">
        <v>136</v>
      </c>
      <c r="E3" t="s">
        <v>137</v>
      </c>
      <c r="F3" t="s">
        <v>9</v>
      </c>
      <c r="G3" t="s">
        <v>69</v>
      </c>
      <c r="H3" t="s">
        <v>22</v>
      </c>
      <c r="I3" t="s">
        <v>65</v>
      </c>
      <c r="J3" s="6">
        <v>46235</v>
      </c>
      <c r="K3">
        <v>100</v>
      </c>
      <c r="L3">
        <v>120</v>
      </c>
      <c r="M3">
        <v>140</v>
      </c>
    </row>
    <row r="4" spans="1:13" x14ac:dyDescent="0.35">
      <c r="A4" t="s">
        <v>140</v>
      </c>
      <c r="B4" t="s">
        <v>87</v>
      </c>
      <c r="C4" t="s">
        <v>141</v>
      </c>
      <c r="D4" t="s">
        <v>136</v>
      </c>
      <c r="E4" t="s">
        <v>137</v>
      </c>
      <c r="F4" t="s">
        <v>9</v>
      </c>
      <c r="G4" t="s">
        <v>69</v>
      </c>
      <c r="H4" t="s">
        <v>22</v>
      </c>
      <c r="I4" t="s">
        <v>65</v>
      </c>
      <c r="J4" s="6">
        <v>46235</v>
      </c>
      <c r="K4">
        <v>100</v>
      </c>
      <c r="L4">
        <v>120</v>
      </c>
      <c r="M4">
        <v>140</v>
      </c>
    </row>
    <row r="5" spans="1:13" x14ac:dyDescent="0.35">
      <c r="A5" t="s">
        <v>142</v>
      </c>
      <c r="B5" t="s">
        <v>87</v>
      </c>
      <c r="C5" t="s">
        <v>143</v>
      </c>
      <c r="D5" t="s">
        <v>144</v>
      </c>
      <c r="E5" t="s">
        <v>137</v>
      </c>
      <c r="F5" t="s">
        <v>9</v>
      </c>
      <c r="G5" t="s">
        <v>69</v>
      </c>
      <c r="H5" t="s">
        <v>22</v>
      </c>
      <c r="I5" t="s">
        <v>65</v>
      </c>
      <c r="J5" s="6">
        <v>46235</v>
      </c>
      <c r="K5">
        <v>100</v>
      </c>
      <c r="L5">
        <v>120</v>
      </c>
      <c r="M5">
        <v>140</v>
      </c>
    </row>
    <row r="6" spans="1:13" x14ac:dyDescent="0.35">
      <c r="A6" t="s">
        <v>145</v>
      </c>
      <c r="B6" t="s">
        <v>87</v>
      </c>
      <c r="C6" t="s">
        <v>146</v>
      </c>
      <c r="D6" t="s">
        <v>136</v>
      </c>
      <c r="E6" t="s">
        <v>137</v>
      </c>
      <c r="F6" t="s">
        <v>9</v>
      </c>
      <c r="G6" t="s">
        <v>69</v>
      </c>
      <c r="H6" t="s">
        <v>22</v>
      </c>
      <c r="I6" t="s">
        <v>65</v>
      </c>
      <c r="J6" s="6">
        <v>46235</v>
      </c>
      <c r="K6">
        <v>100</v>
      </c>
      <c r="L6">
        <v>120</v>
      </c>
      <c r="M6">
        <v>140</v>
      </c>
    </row>
    <row r="7" spans="1:13" x14ac:dyDescent="0.35">
      <c r="A7" t="s">
        <v>147</v>
      </c>
      <c r="B7" t="s">
        <v>87</v>
      </c>
      <c r="C7" t="s">
        <v>148</v>
      </c>
      <c r="D7" t="s">
        <v>149</v>
      </c>
      <c r="E7" t="s">
        <v>137</v>
      </c>
      <c r="F7" t="s">
        <v>9</v>
      </c>
      <c r="G7" t="s">
        <v>69</v>
      </c>
      <c r="H7" t="s">
        <v>22</v>
      </c>
      <c r="I7" t="s">
        <v>65</v>
      </c>
      <c r="J7" s="6">
        <v>46235</v>
      </c>
      <c r="K7">
        <v>100</v>
      </c>
      <c r="L7">
        <v>120</v>
      </c>
      <c r="M7">
        <v>140</v>
      </c>
    </row>
    <row r="8" spans="1:13" x14ac:dyDescent="0.35">
      <c r="A8" t="s">
        <v>150</v>
      </c>
      <c r="B8" t="s">
        <v>87</v>
      </c>
      <c r="C8" t="s">
        <v>151</v>
      </c>
      <c r="D8" t="s">
        <v>152</v>
      </c>
      <c r="E8" t="s">
        <v>137</v>
      </c>
      <c r="F8" t="s">
        <v>9</v>
      </c>
      <c r="G8" t="s">
        <v>69</v>
      </c>
      <c r="H8" t="s">
        <v>22</v>
      </c>
      <c r="I8" t="s">
        <v>65</v>
      </c>
      <c r="J8" s="6">
        <v>46235</v>
      </c>
      <c r="K8">
        <v>100</v>
      </c>
      <c r="L8">
        <v>120</v>
      </c>
      <c r="M8">
        <v>140</v>
      </c>
    </row>
    <row r="9" spans="1:13" x14ac:dyDescent="0.35">
      <c r="A9" t="s">
        <v>153</v>
      </c>
      <c r="B9" t="s">
        <v>87</v>
      </c>
      <c r="C9" t="s">
        <v>154</v>
      </c>
      <c r="D9" t="s">
        <v>155</v>
      </c>
      <c r="E9" t="s">
        <v>137</v>
      </c>
      <c r="F9" t="s">
        <v>9</v>
      </c>
      <c r="G9" t="s">
        <v>69</v>
      </c>
      <c r="H9" t="s">
        <v>22</v>
      </c>
      <c r="I9" t="s">
        <v>65</v>
      </c>
      <c r="J9" s="6">
        <v>46235</v>
      </c>
      <c r="K9">
        <v>100</v>
      </c>
      <c r="L9">
        <v>120</v>
      </c>
      <c r="M9">
        <v>140</v>
      </c>
    </row>
    <row r="10" spans="1:13" x14ac:dyDescent="0.35">
      <c r="A10" t="s">
        <v>156</v>
      </c>
      <c r="B10" t="s">
        <v>87</v>
      </c>
      <c r="C10" t="s">
        <v>157</v>
      </c>
      <c r="D10" t="s">
        <v>158</v>
      </c>
      <c r="E10" t="s">
        <v>137</v>
      </c>
      <c r="F10" t="s">
        <v>9</v>
      </c>
      <c r="G10" t="s">
        <v>69</v>
      </c>
      <c r="H10" t="s">
        <v>22</v>
      </c>
      <c r="I10" t="s">
        <v>65</v>
      </c>
      <c r="J10" s="6">
        <v>46235</v>
      </c>
      <c r="K10">
        <v>100</v>
      </c>
      <c r="L10">
        <v>120</v>
      </c>
      <c r="M10">
        <v>140</v>
      </c>
    </row>
    <row r="11" spans="1:13" x14ac:dyDescent="0.35">
      <c r="A11" t="s">
        <v>159</v>
      </c>
      <c r="B11" t="s">
        <v>87</v>
      </c>
      <c r="C11" t="s">
        <v>160</v>
      </c>
      <c r="D11" t="s">
        <v>144</v>
      </c>
      <c r="E11" t="s">
        <v>137</v>
      </c>
      <c r="F11" t="s">
        <v>9</v>
      </c>
      <c r="G11" t="s">
        <v>69</v>
      </c>
      <c r="H11" t="s">
        <v>22</v>
      </c>
      <c r="I11" t="s">
        <v>65</v>
      </c>
      <c r="J11" s="6">
        <v>46235</v>
      </c>
      <c r="K11">
        <v>100</v>
      </c>
      <c r="L11">
        <v>120</v>
      </c>
      <c r="M11">
        <v>140</v>
      </c>
    </row>
    <row r="12" spans="1:13" x14ac:dyDescent="0.35">
      <c r="A12" t="s">
        <v>161</v>
      </c>
      <c r="B12" t="s">
        <v>87</v>
      </c>
      <c r="C12" t="s">
        <v>162</v>
      </c>
      <c r="D12" t="s">
        <v>163</v>
      </c>
      <c r="E12" t="s">
        <v>137</v>
      </c>
      <c r="F12" t="s">
        <v>9</v>
      </c>
      <c r="G12" t="s">
        <v>69</v>
      </c>
      <c r="H12" t="s">
        <v>22</v>
      </c>
      <c r="I12" t="s">
        <v>65</v>
      </c>
      <c r="J12" s="6">
        <v>46235</v>
      </c>
      <c r="K12">
        <v>100</v>
      </c>
      <c r="L12">
        <v>120</v>
      </c>
      <c r="M12">
        <v>140</v>
      </c>
    </row>
    <row r="13" spans="1:13" x14ac:dyDescent="0.35">
      <c r="A13" t="s">
        <v>164</v>
      </c>
      <c r="B13" t="s">
        <v>87</v>
      </c>
      <c r="C13" t="s">
        <v>165</v>
      </c>
      <c r="D13" t="s">
        <v>136</v>
      </c>
      <c r="E13" t="s">
        <v>137</v>
      </c>
      <c r="F13" t="s">
        <v>9</v>
      </c>
      <c r="G13" t="s">
        <v>69</v>
      </c>
      <c r="H13" t="s">
        <v>22</v>
      </c>
      <c r="I13" t="s">
        <v>65</v>
      </c>
      <c r="J13" s="6">
        <v>46235</v>
      </c>
      <c r="K13">
        <v>100</v>
      </c>
      <c r="L13">
        <v>120</v>
      </c>
      <c r="M13">
        <v>140</v>
      </c>
    </row>
    <row r="14" spans="1:13" x14ac:dyDescent="0.35">
      <c r="A14" t="s">
        <v>166</v>
      </c>
      <c r="B14" t="s">
        <v>87</v>
      </c>
      <c r="C14" t="s">
        <v>167</v>
      </c>
      <c r="D14" t="s">
        <v>168</v>
      </c>
      <c r="E14" t="s">
        <v>137</v>
      </c>
      <c r="F14" t="s">
        <v>9</v>
      </c>
      <c r="G14" t="s">
        <v>69</v>
      </c>
      <c r="H14" t="s">
        <v>22</v>
      </c>
      <c r="I14" t="s">
        <v>65</v>
      </c>
      <c r="J14" s="6">
        <v>46235</v>
      </c>
      <c r="K14">
        <v>100</v>
      </c>
      <c r="L14">
        <v>120</v>
      </c>
      <c r="M14">
        <v>140</v>
      </c>
    </row>
    <row r="15" spans="1:13" x14ac:dyDescent="0.35">
      <c r="A15" t="s">
        <v>169</v>
      </c>
      <c r="B15" t="s">
        <v>87</v>
      </c>
      <c r="C15" t="s">
        <v>170</v>
      </c>
      <c r="D15" t="s">
        <v>171</v>
      </c>
      <c r="E15" t="s">
        <v>137</v>
      </c>
      <c r="F15" t="s">
        <v>10</v>
      </c>
      <c r="G15" t="s">
        <v>69</v>
      </c>
      <c r="H15" t="s">
        <v>22</v>
      </c>
      <c r="I15" t="s">
        <v>65</v>
      </c>
      <c r="J15" s="6">
        <v>46235</v>
      </c>
      <c r="K15">
        <v>100</v>
      </c>
      <c r="L15">
        <v>120</v>
      </c>
      <c r="M15">
        <v>140</v>
      </c>
    </row>
    <row r="16" spans="1:13" x14ac:dyDescent="0.35">
      <c r="A16" t="s">
        <v>172</v>
      </c>
      <c r="B16" t="s">
        <v>87</v>
      </c>
      <c r="C16" t="s">
        <v>173</v>
      </c>
      <c r="D16" t="s">
        <v>144</v>
      </c>
      <c r="E16" t="s">
        <v>137</v>
      </c>
      <c r="F16" t="s">
        <v>10</v>
      </c>
      <c r="G16" t="s">
        <v>70</v>
      </c>
      <c r="H16" t="s">
        <v>22</v>
      </c>
      <c r="I16" t="s">
        <v>65</v>
      </c>
      <c r="J16" s="6">
        <v>46235</v>
      </c>
      <c r="K16">
        <v>100</v>
      </c>
      <c r="L16">
        <v>120</v>
      </c>
      <c r="M16">
        <v>140</v>
      </c>
    </row>
    <row r="17" spans="1:13" x14ac:dyDescent="0.35">
      <c r="A17" t="s">
        <v>174</v>
      </c>
      <c r="B17" t="s">
        <v>94</v>
      </c>
      <c r="C17" t="s">
        <v>175</v>
      </c>
      <c r="D17" t="s">
        <v>136</v>
      </c>
      <c r="E17" t="s">
        <v>137</v>
      </c>
      <c r="F17" t="s">
        <v>10</v>
      </c>
      <c r="G17" t="s">
        <v>69</v>
      </c>
      <c r="H17" t="s">
        <v>23</v>
      </c>
      <c r="I17" t="s">
        <v>66</v>
      </c>
      <c r="J17" s="6">
        <v>46027</v>
      </c>
      <c r="K17">
        <v>20</v>
      </c>
      <c r="L17">
        <v>25</v>
      </c>
      <c r="M17">
        <v>30</v>
      </c>
    </row>
    <row r="18" spans="1:13" x14ac:dyDescent="0.35">
      <c r="A18" t="s">
        <v>176</v>
      </c>
      <c r="B18" t="s">
        <v>94</v>
      </c>
      <c r="C18" t="s">
        <v>177</v>
      </c>
      <c r="D18" t="s">
        <v>144</v>
      </c>
      <c r="E18" t="s">
        <v>137</v>
      </c>
      <c r="F18" t="s">
        <v>10</v>
      </c>
      <c r="G18" t="s">
        <v>69</v>
      </c>
      <c r="H18" t="s">
        <v>23</v>
      </c>
      <c r="I18" t="s">
        <v>66</v>
      </c>
      <c r="J18" s="6">
        <v>46028</v>
      </c>
      <c r="K18">
        <v>15</v>
      </c>
      <c r="L18">
        <v>20</v>
      </c>
      <c r="M18">
        <v>25</v>
      </c>
    </row>
    <row r="19" spans="1:13" x14ac:dyDescent="0.35">
      <c r="A19" t="s">
        <v>178</v>
      </c>
      <c r="B19" t="s">
        <v>100</v>
      </c>
      <c r="C19" t="s">
        <v>179</v>
      </c>
      <c r="D19" t="s">
        <v>180</v>
      </c>
      <c r="E19" t="s">
        <v>137</v>
      </c>
      <c r="F19" t="s">
        <v>9</v>
      </c>
      <c r="G19" t="s">
        <v>69</v>
      </c>
      <c r="H19" t="s">
        <v>21</v>
      </c>
      <c r="I19" t="s">
        <v>66</v>
      </c>
      <c r="J19" s="6">
        <v>46029</v>
      </c>
      <c r="K19">
        <v>15</v>
      </c>
      <c r="L19">
        <v>18</v>
      </c>
      <c r="M19">
        <v>20</v>
      </c>
    </row>
    <row r="20" spans="1:13" x14ac:dyDescent="0.35">
      <c r="A20" t="s">
        <v>181</v>
      </c>
      <c r="B20" t="s">
        <v>104</v>
      </c>
      <c r="C20" t="s">
        <v>105</v>
      </c>
      <c r="D20" t="s">
        <v>144</v>
      </c>
      <c r="E20" t="s">
        <v>137</v>
      </c>
      <c r="F20" t="s">
        <v>9</v>
      </c>
      <c r="G20" t="s">
        <v>69</v>
      </c>
      <c r="H20" t="s">
        <v>23</v>
      </c>
      <c r="I20" t="s">
        <v>66</v>
      </c>
      <c r="J20" s="6">
        <v>46027</v>
      </c>
      <c r="K20">
        <v>12</v>
      </c>
      <c r="L20">
        <v>15</v>
      </c>
      <c r="M20">
        <v>18</v>
      </c>
    </row>
    <row r="21" spans="1:13" x14ac:dyDescent="0.35">
      <c r="A21" t="s">
        <v>182</v>
      </c>
      <c r="B21" t="s">
        <v>108</v>
      </c>
      <c r="C21" t="s">
        <v>183</v>
      </c>
      <c r="D21" t="s">
        <v>144</v>
      </c>
      <c r="E21" t="s">
        <v>137</v>
      </c>
      <c r="F21" t="s">
        <v>9</v>
      </c>
      <c r="G21" t="s">
        <v>69</v>
      </c>
      <c r="H21" t="s">
        <v>21</v>
      </c>
      <c r="I21" t="s">
        <v>67</v>
      </c>
      <c r="J21" s="6">
        <v>46030</v>
      </c>
      <c r="K21">
        <v>10</v>
      </c>
      <c r="L21">
        <v>12</v>
      </c>
      <c r="M21">
        <v>15</v>
      </c>
    </row>
    <row r="22" spans="1:13" x14ac:dyDescent="0.35">
      <c r="A22" t="s">
        <v>184</v>
      </c>
      <c r="B22" t="s">
        <v>108</v>
      </c>
      <c r="C22" t="s">
        <v>185</v>
      </c>
      <c r="D22" t="s">
        <v>136</v>
      </c>
      <c r="E22" t="s">
        <v>137</v>
      </c>
      <c r="F22" t="s">
        <v>10</v>
      </c>
      <c r="G22" t="s">
        <v>69</v>
      </c>
      <c r="H22" t="s">
        <v>21</v>
      </c>
      <c r="I22" t="s">
        <v>67</v>
      </c>
      <c r="J22" s="6">
        <v>46030</v>
      </c>
      <c r="K22">
        <v>10</v>
      </c>
      <c r="L22">
        <v>12</v>
      </c>
      <c r="M22">
        <v>15</v>
      </c>
    </row>
    <row r="23" spans="1:13" x14ac:dyDescent="0.35">
      <c r="A23" t="s">
        <v>186</v>
      </c>
      <c r="B23" t="s">
        <v>113</v>
      </c>
      <c r="C23" t="s">
        <v>187</v>
      </c>
      <c r="D23" t="s">
        <v>188</v>
      </c>
      <c r="E23" t="s">
        <v>137</v>
      </c>
      <c r="F23" t="s">
        <v>9</v>
      </c>
      <c r="G23" t="s">
        <v>69</v>
      </c>
      <c r="H23" t="s">
        <v>22</v>
      </c>
      <c r="I23" t="s">
        <v>67</v>
      </c>
      <c r="J23" s="6">
        <v>46031</v>
      </c>
      <c r="K23">
        <v>8</v>
      </c>
      <c r="L23">
        <v>10</v>
      </c>
      <c r="M23">
        <v>12</v>
      </c>
    </row>
    <row r="24" spans="1:13" x14ac:dyDescent="0.35">
      <c r="A24" t="s">
        <v>189</v>
      </c>
      <c r="B24" t="s">
        <v>118</v>
      </c>
      <c r="C24" t="s">
        <v>190</v>
      </c>
      <c r="D24" t="s">
        <v>136</v>
      </c>
      <c r="E24" t="s">
        <v>137</v>
      </c>
      <c r="F24" t="s">
        <v>9</v>
      </c>
      <c r="G24" t="s">
        <v>69</v>
      </c>
      <c r="H24" t="s">
        <v>22</v>
      </c>
      <c r="I24" t="s">
        <v>67</v>
      </c>
      <c r="J24" s="6">
        <v>46034</v>
      </c>
      <c r="K24">
        <v>8</v>
      </c>
      <c r="L24">
        <v>10</v>
      </c>
      <c r="M24">
        <v>12</v>
      </c>
    </row>
  </sheetData>
  <dataValidations count="4">
    <dataValidation type="list" allowBlank="1" showInputMessage="1" showErrorMessage="1" sqref="F2:F200" xr:uid="{53A7AF46-5EF4-49A9-A9C4-6D24DDD4D00C}">
      <formula1>Responsables</formula1>
    </dataValidation>
    <dataValidation type="list" allowBlank="1" showInputMessage="1" showErrorMessage="1" sqref="G2:G200" xr:uid="{ECF9A9BC-54A8-4435-A76C-D4B09CBFCB21}">
      <formula1>EstadosPDV</formula1>
    </dataValidation>
    <dataValidation type="list" allowBlank="1" showInputMessage="1" showErrorMessage="1" sqref="H2:H200" xr:uid="{32492283-1FDD-497E-9F92-78AD1BFBBFFD}">
      <formula1>Formato</formula1>
    </dataValidation>
    <dataValidation type="list" allowBlank="1" showInputMessage="1" showErrorMessage="1" sqref="I2:I200" xr:uid="{EE2604EA-5995-488D-80EF-ECCB3BC07D29}">
      <formula1>Frecuencias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BF6E-A626-426C-97AB-FFF1C5E4D3F0}">
  <dimension ref="A1:O8"/>
  <sheetViews>
    <sheetView workbookViewId="0"/>
  </sheetViews>
  <sheetFormatPr baseColWidth="10" defaultRowHeight="14.5" x14ac:dyDescent="0.35"/>
  <cols>
    <col min="1" max="1" width="11.54296875" customWidth="1"/>
    <col min="2" max="2" width="14.54296875" bestFit="1" customWidth="1"/>
    <col min="3" max="3" width="17.08984375" bestFit="1" customWidth="1"/>
    <col min="4" max="4" width="14.36328125" bestFit="1" customWidth="1"/>
    <col min="5" max="5" width="12.08984375" customWidth="1"/>
    <col min="6" max="6" width="11.453125" customWidth="1"/>
    <col min="7" max="7" width="17.26953125" customWidth="1"/>
    <col min="8" max="8" width="23.6328125" bestFit="1" customWidth="1"/>
    <col min="9" max="9" width="10.54296875" bestFit="1" customWidth="1"/>
    <col min="10" max="10" width="13.453125" bestFit="1" customWidth="1"/>
    <col min="11" max="11" width="19.6328125" customWidth="1"/>
    <col min="12" max="12" width="21.08984375" bestFit="1" customWidth="1"/>
    <col min="13" max="13" width="15.54296875" customWidth="1"/>
    <col min="14" max="14" width="8.6328125" customWidth="1"/>
    <col min="15" max="15" width="34.90625" bestFit="1" customWidth="1"/>
  </cols>
  <sheetData>
    <row r="1" spans="1:15" x14ac:dyDescent="0.3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17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86</v>
      </c>
    </row>
    <row r="2" spans="1:15" x14ac:dyDescent="0.35">
      <c r="A2" t="s">
        <v>87</v>
      </c>
      <c r="B2" t="s">
        <v>88</v>
      </c>
      <c r="C2" t="s">
        <v>12</v>
      </c>
      <c r="D2" t="s">
        <v>89</v>
      </c>
      <c r="E2">
        <v>30</v>
      </c>
      <c r="F2" t="s">
        <v>19</v>
      </c>
      <c r="G2">
        <v>0</v>
      </c>
      <c r="H2" t="s">
        <v>90</v>
      </c>
      <c r="I2" t="s">
        <v>9</v>
      </c>
      <c r="J2" t="s">
        <v>35</v>
      </c>
      <c r="K2" s="6">
        <v>46035</v>
      </c>
      <c r="L2" t="s">
        <v>91</v>
      </c>
      <c r="M2" s="6">
        <v>46218</v>
      </c>
      <c r="N2" t="s">
        <v>92</v>
      </c>
      <c r="O2" t="s">
        <v>93</v>
      </c>
    </row>
    <row r="3" spans="1:15" x14ac:dyDescent="0.35">
      <c r="A3" t="s">
        <v>94</v>
      </c>
      <c r="B3" t="s">
        <v>95</v>
      </c>
      <c r="C3" t="s">
        <v>13</v>
      </c>
      <c r="D3" t="s">
        <v>96</v>
      </c>
      <c r="E3">
        <v>0</v>
      </c>
      <c r="F3" t="s">
        <v>18</v>
      </c>
      <c r="G3">
        <v>0</v>
      </c>
      <c r="H3" t="s">
        <v>97</v>
      </c>
      <c r="I3" t="s">
        <v>10</v>
      </c>
      <c r="J3" t="s">
        <v>40</v>
      </c>
      <c r="K3" s="6">
        <v>46028</v>
      </c>
      <c r="L3" t="s">
        <v>98</v>
      </c>
      <c r="M3" s="6">
        <v>46213</v>
      </c>
      <c r="N3" t="s">
        <v>99</v>
      </c>
    </row>
    <row r="4" spans="1:15" x14ac:dyDescent="0.35">
      <c r="A4" t="s">
        <v>100</v>
      </c>
      <c r="B4" t="s">
        <v>101</v>
      </c>
      <c r="C4" t="s">
        <v>13</v>
      </c>
      <c r="D4" t="s">
        <v>96</v>
      </c>
      <c r="E4">
        <v>0</v>
      </c>
      <c r="F4" t="s">
        <v>18</v>
      </c>
      <c r="G4">
        <v>0</v>
      </c>
      <c r="H4" t="s">
        <v>102</v>
      </c>
      <c r="I4" t="s">
        <v>9</v>
      </c>
      <c r="J4" t="s">
        <v>39</v>
      </c>
      <c r="K4" s="6">
        <v>46029</v>
      </c>
      <c r="L4" t="s">
        <v>103</v>
      </c>
      <c r="M4" s="6">
        <v>46215</v>
      </c>
      <c r="N4" t="s">
        <v>99</v>
      </c>
    </row>
    <row r="5" spans="1:15" x14ac:dyDescent="0.35">
      <c r="A5" t="s">
        <v>104</v>
      </c>
      <c r="B5" t="s">
        <v>105</v>
      </c>
      <c r="C5" t="s">
        <v>13</v>
      </c>
      <c r="D5" t="s">
        <v>96</v>
      </c>
      <c r="E5">
        <v>0</v>
      </c>
      <c r="F5" t="s">
        <v>18</v>
      </c>
      <c r="G5">
        <v>0</v>
      </c>
      <c r="H5" t="s">
        <v>106</v>
      </c>
      <c r="I5" t="s">
        <v>9</v>
      </c>
      <c r="J5" t="s">
        <v>32</v>
      </c>
      <c r="K5" s="6">
        <v>46027</v>
      </c>
      <c r="L5" t="s">
        <v>107</v>
      </c>
      <c r="M5" s="6">
        <v>46217</v>
      </c>
      <c r="N5" t="s">
        <v>99</v>
      </c>
    </row>
    <row r="6" spans="1:15" x14ac:dyDescent="0.35">
      <c r="A6" t="s">
        <v>108</v>
      </c>
      <c r="B6" t="s">
        <v>109</v>
      </c>
      <c r="C6" t="s">
        <v>14</v>
      </c>
      <c r="D6" t="s">
        <v>110</v>
      </c>
      <c r="E6">
        <v>0</v>
      </c>
      <c r="F6" t="s">
        <v>18</v>
      </c>
      <c r="G6">
        <v>0</v>
      </c>
      <c r="H6" t="s">
        <v>111</v>
      </c>
      <c r="I6" t="s">
        <v>10</v>
      </c>
      <c r="J6" t="s">
        <v>36</v>
      </c>
      <c r="K6" s="6">
        <v>46030</v>
      </c>
      <c r="L6" t="s">
        <v>112</v>
      </c>
      <c r="M6" s="6">
        <v>46214</v>
      </c>
      <c r="N6" t="s">
        <v>99</v>
      </c>
    </row>
    <row r="7" spans="1:15" x14ac:dyDescent="0.35">
      <c r="A7" t="s">
        <v>113</v>
      </c>
      <c r="B7" t="s">
        <v>114</v>
      </c>
      <c r="C7" t="s">
        <v>15</v>
      </c>
      <c r="D7" t="s">
        <v>115</v>
      </c>
      <c r="E7">
        <v>0</v>
      </c>
      <c r="F7" t="s">
        <v>18</v>
      </c>
      <c r="G7">
        <v>0</v>
      </c>
      <c r="H7" t="s">
        <v>116</v>
      </c>
      <c r="I7" t="s">
        <v>9</v>
      </c>
      <c r="J7" t="s">
        <v>40</v>
      </c>
      <c r="K7" s="6">
        <v>46031</v>
      </c>
      <c r="L7" t="s">
        <v>117</v>
      </c>
      <c r="M7" s="6">
        <v>46219</v>
      </c>
      <c r="N7" t="s">
        <v>99</v>
      </c>
    </row>
    <row r="8" spans="1:15" x14ac:dyDescent="0.35">
      <c r="A8" t="s">
        <v>118</v>
      </c>
      <c r="B8" t="s">
        <v>119</v>
      </c>
      <c r="C8" t="s">
        <v>16</v>
      </c>
      <c r="D8" t="s">
        <v>120</v>
      </c>
      <c r="E8">
        <v>0</v>
      </c>
      <c r="F8" t="s">
        <v>18</v>
      </c>
      <c r="G8">
        <v>0</v>
      </c>
      <c r="H8" t="s">
        <v>121</v>
      </c>
      <c r="I8" t="s">
        <v>9</v>
      </c>
      <c r="J8" t="s">
        <v>39</v>
      </c>
      <c r="K8" s="6">
        <v>46034</v>
      </c>
      <c r="L8" t="s">
        <v>122</v>
      </c>
      <c r="M8" s="6">
        <v>46216</v>
      </c>
      <c r="N8" t="s">
        <v>99</v>
      </c>
      <c r="O8" t="s">
        <v>123</v>
      </c>
    </row>
  </sheetData>
  <dataValidations count="4">
    <dataValidation type="list" allowBlank="1" showInputMessage="1" showErrorMessage="1" sqref="C2:C200" xr:uid="{7D52A631-B694-419E-A27F-AFA406CA55D7}">
      <formula1>Segmentos</formula1>
    </dataValidation>
    <dataValidation type="list" allowBlank="1" showInputMessage="1" showErrorMessage="1" sqref="F2:F200" xr:uid="{1F9E6082-65DE-4C70-A5F5-82C138BE4CD7}">
      <formula1>Condicion</formula1>
    </dataValidation>
    <dataValidation type="list" allowBlank="1" showInputMessage="1" showErrorMessage="1" sqref="I2:I200" xr:uid="{79A7332A-40DE-4681-BF9A-81AA5879F35F}">
      <formula1>Responsables</formula1>
    </dataValidation>
    <dataValidation type="list" allowBlank="1" showInputMessage="1" showErrorMessage="1" sqref="J2:J200" xr:uid="{B814D4AA-7DAA-4BF6-B0BE-E258767C21A3}">
      <formula1>EstadosCliente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7B93-075F-462D-9E89-CF50FCA8B6FE}">
  <dimension ref="A1:O18"/>
  <sheetViews>
    <sheetView tabSelected="1" workbookViewId="0"/>
  </sheetViews>
  <sheetFormatPr baseColWidth="10" defaultRowHeight="14.5" x14ac:dyDescent="0.35"/>
  <cols>
    <col min="1" max="1" width="27.1796875" bestFit="1" customWidth="1"/>
    <col min="2" max="2" width="5.08984375" bestFit="1" customWidth="1"/>
    <col min="3" max="3" width="76.7265625" bestFit="1" customWidth="1"/>
    <col min="5" max="5" width="12.54296875" bestFit="1" customWidth="1"/>
    <col min="6" max="6" width="17.08984375" bestFit="1" customWidth="1"/>
    <col min="7" max="7" width="9.453125" bestFit="1" customWidth="1"/>
    <col min="8" max="8" width="9.54296875" bestFit="1" customWidth="1"/>
    <col min="9" max="9" width="17.7265625" bestFit="1" customWidth="1"/>
    <col min="10" max="10" width="16.7265625" bestFit="1" customWidth="1"/>
    <col min="11" max="11" width="13.1796875" bestFit="1" customWidth="1"/>
    <col min="12" max="12" width="13.81640625" bestFit="1" customWidth="1"/>
    <col min="13" max="13" width="13.7265625" bestFit="1" customWidth="1"/>
    <col min="14" max="14" width="11.08984375" bestFit="1" customWidth="1"/>
    <col min="15" max="15" width="10.81640625" bestFit="1" customWidth="1"/>
  </cols>
  <sheetData>
    <row r="1" spans="1:15" ht="18.5" x14ac:dyDescent="0.45">
      <c r="A1" s="2" t="s">
        <v>0</v>
      </c>
    </row>
    <row r="3" spans="1:15" x14ac:dyDescent="0.35">
      <c r="A3" s="1" t="s">
        <v>1</v>
      </c>
      <c r="B3" s="1" t="s">
        <v>2</v>
      </c>
      <c r="E3" s="4" t="s">
        <v>8</v>
      </c>
      <c r="F3" s="4" t="s">
        <v>11</v>
      </c>
      <c r="G3" s="4" t="s">
        <v>17</v>
      </c>
      <c r="H3" s="4" t="s">
        <v>20</v>
      </c>
      <c r="I3" s="4" t="s">
        <v>24</v>
      </c>
      <c r="J3" s="4" t="s">
        <v>29</v>
      </c>
      <c r="K3" s="4" t="s">
        <v>45</v>
      </c>
      <c r="L3" s="4" t="s">
        <v>50</v>
      </c>
      <c r="M3" s="4" t="s">
        <v>58</v>
      </c>
      <c r="N3" s="4" t="s">
        <v>64</v>
      </c>
      <c r="O3" s="4" t="s">
        <v>68</v>
      </c>
    </row>
    <row r="4" spans="1:15" x14ac:dyDescent="0.35">
      <c r="A4" t="s">
        <v>3</v>
      </c>
      <c r="B4">
        <v>0.19</v>
      </c>
      <c r="C4" t="s">
        <v>6</v>
      </c>
      <c r="E4" t="s">
        <v>9</v>
      </c>
      <c r="F4" t="s">
        <v>12</v>
      </c>
      <c r="G4" t="s">
        <v>18</v>
      </c>
      <c r="H4" t="s">
        <v>21</v>
      </c>
      <c r="I4" t="s">
        <v>25</v>
      </c>
      <c r="J4" t="s">
        <v>30</v>
      </c>
      <c r="K4" t="s">
        <v>46</v>
      </c>
      <c r="L4" t="s">
        <v>51</v>
      </c>
      <c r="M4" t="s">
        <v>59</v>
      </c>
      <c r="N4" t="s">
        <v>65</v>
      </c>
      <c r="O4" t="s">
        <v>69</v>
      </c>
    </row>
    <row r="5" spans="1:15" x14ac:dyDescent="0.35">
      <c r="A5" t="s">
        <v>4</v>
      </c>
      <c r="B5">
        <v>2026</v>
      </c>
      <c r="E5" t="s">
        <v>10</v>
      </c>
      <c r="F5" t="s">
        <v>13</v>
      </c>
      <c r="G5" t="s">
        <v>19</v>
      </c>
      <c r="H5" t="s">
        <v>22</v>
      </c>
      <c r="I5" t="s">
        <v>26</v>
      </c>
      <c r="J5" t="s">
        <v>31</v>
      </c>
      <c r="K5" t="s">
        <v>38</v>
      </c>
      <c r="L5" t="s">
        <v>52</v>
      </c>
      <c r="M5" t="s">
        <v>60</v>
      </c>
      <c r="N5" t="s">
        <v>66</v>
      </c>
      <c r="O5" t="s">
        <v>70</v>
      </c>
    </row>
    <row r="6" spans="1:15" x14ac:dyDescent="0.35">
      <c r="A6" t="s">
        <v>5</v>
      </c>
      <c r="B6">
        <v>250</v>
      </c>
      <c r="C6" s="3" t="s">
        <v>7</v>
      </c>
      <c r="F6" t="s">
        <v>14</v>
      </c>
      <c r="H6" t="s">
        <v>23</v>
      </c>
      <c r="I6" t="s">
        <v>27</v>
      </c>
      <c r="J6" t="s">
        <v>32</v>
      </c>
      <c r="K6" t="s">
        <v>47</v>
      </c>
      <c r="L6" t="s">
        <v>53</v>
      </c>
      <c r="M6" t="s">
        <v>61</v>
      </c>
      <c r="N6" t="s">
        <v>67</v>
      </c>
      <c r="O6" t="s">
        <v>71</v>
      </c>
    </row>
    <row r="7" spans="1:15" x14ac:dyDescent="0.35">
      <c r="F7" t="s">
        <v>15</v>
      </c>
      <c r="I7" t="s">
        <v>28</v>
      </c>
      <c r="J7" t="s">
        <v>33</v>
      </c>
      <c r="K7" t="s">
        <v>48</v>
      </c>
      <c r="L7" t="s">
        <v>54</v>
      </c>
      <c r="M7" t="s">
        <v>62</v>
      </c>
      <c r="O7" t="s">
        <v>72</v>
      </c>
    </row>
    <row r="8" spans="1:15" x14ac:dyDescent="0.35">
      <c r="F8" t="s">
        <v>16</v>
      </c>
      <c r="J8" t="s">
        <v>34</v>
      </c>
      <c r="K8" t="s">
        <v>49</v>
      </c>
      <c r="L8" t="s">
        <v>55</v>
      </c>
      <c r="M8" t="s">
        <v>63</v>
      </c>
    </row>
    <row r="9" spans="1:15" x14ac:dyDescent="0.35">
      <c r="J9" t="s">
        <v>35</v>
      </c>
      <c r="L9" t="s">
        <v>56</v>
      </c>
    </row>
    <row r="10" spans="1:15" x14ac:dyDescent="0.35">
      <c r="J10" t="s">
        <v>36</v>
      </c>
      <c r="L10" t="s">
        <v>57</v>
      </c>
    </row>
    <row r="11" spans="1:15" x14ac:dyDescent="0.35">
      <c r="J11" t="s">
        <v>37</v>
      </c>
    </row>
    <row r="12" spans="1:15" x14ac:dyDescent="0.35">
      <c r="J12" t="s">
        <v>38</v>
      </c>
    </row>
    <row r="13" spans="1:15" x14ac:dyDescent="0.35">
      <c r="J13" t="s">
        <v>39</v>
      </c>
    </row>
    <row r="14" spans="1:15" x14ac:dyDescent="0.35">
      <c r="J14" t="s">
        <v>40</v>
      </c>
    </row>
    <row r="15" spans="1:15" x14ac:dyDescent="0.35">
      <c r="J15" t="s">
        <v>41</v>
      </c>
    </row>
    <row r="16" spans="1:15" x14ac:dyDescent="0.35">
      <c r="J16" t="s">
        <v>42</v>
      </c>
    </row>
    <row r="17" spans="10:10" x14ac:dyDescent="0.35">
      <c r="J17" t="s">
        <v>43</v>
      </c>
    </row>
    <row r="18" spans="10:10" x14ac:dyDescent="0.35">
      <c r="J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14</vt:i4>
      </vt:variant>
    </vt:vector>
  </HeadingPairs>
  <TitlesOfParts>
    <vt:vector size="28" baseType="lpstr">
      <vt:lpstr>13_Dashboard</vt:lpstr>
      <vt:lpstr>12_POP</vt:lpstr>
      <vt:lpstr>11_Tareas_Decisiones</vt:lpstr>
      <vt:lpstr>10_Condiciones_Margen</vt:lpstr>
      <vt:lpstr>09_Sell_In</vt:lpstr>
      <vt:lpstr>08_Pedidos_OC</vt:lpstr>
      <vt:lpstr>07_Stock_Canal</vt:lpstr>
      <vt:lpstr>06_Registro_PDV</vt:lpstr>
      <vt:lpstr>05_Plan_Visitas</vt:lpstr>
      <vt:lpstr>04_Priorizacion</vt:lpstr>
      <vt:lpstr>03_Maestro_SKU</vt:lpstr>
      <vt:lpstr>02_Maestro_PDV</vt:lpstr>
      <vt:lpstr>01_Maestro_Clientes</vt:lpstr>
      <vt:lpstr>00_Parametros</vt:lpstr>
      <vt:lpstr>AnioOp</vt:lpstr>
      <vt:lpstr>Condicion</vt:lpstr>
      <vt:lpstr>CostoSup</vt:lpstr>
      <vt:lpstr>EstadosCliente</vt:lpstr>
      <vt:lpstr>EstadosFactura</vt:lpstr>
      <vt:lpstr>EstadosPDV</vt:lpstr>
      <vt:lpstr>EstadosPedido</vt:lpstr>
      <vt:lpstr>Formato</vt:lpstr>
      <vt:lpstr>Frecuencias</vt:lpstr>
      <vt:lpstr>FuentesSellOut</vt:lpstr>
      <vt:lpstr>IVA</vt:lpstr>
      <vt:lpstr>Responsables</vt:lpstr>
      <vt:lpstr>Segmentos</vt:lpstr>
      <vt:lpstr>TiposPOP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2026-07-06T18:54:07Z</dcterms:created>
  <dcterms:modified xsi:type="dcterms:W3CDTF">2026-07-07T18:06:29Z</dcterms:modified>
</cp:coreProperties>
</file>